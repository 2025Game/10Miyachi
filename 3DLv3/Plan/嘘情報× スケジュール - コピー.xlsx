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16" documentId="13_ncr:1_{6E415CE7-6A31-4F55-A4DB-89EEDF18F9EE}" xr6:coauthVersionLast="47" xr6:coauthVersionMax="47" xr10:uidLastSave="{E3B36597-08CC-479B-94D4-BDDEE76429BF}"/>
  <bookViews>
    <workbookView xWindow="-108" yWindow="-108" windowWidth="23256" windowHeight="12456"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31" i="11" l="1"/>
  <c r="H130" i="11"/>
  <c r="H129" i="11"/>
  <c r="H128" i="11"/>
  <c r="H127" i="11"/>
  <c r="H126" i="11"/>
  <c r="H125" i="11"/>
  <c r="H124" i="11"/>
  <c r="H123" i="11"/>
  <c r="H116" i="11"/>
  <c r="H115" i="11"/>
  <c r="H114" i="11"/>
  <c r="H113" i="11"/>
  <c r="H112" i="11"/>
  <c r="H111" i="11"/>
  <c r="H110" i="11"/>
  <c r="H109" i="11"/>
  <c r="H15" i="11"/>
  <c r="H14" i="11"/>
  <c r="H29" i="11"/>
  <c r="H28" i="11"/>
  <c r="H27" i="11"/>
  <c r="H26" i="11"/>
  <c r="H25" i="11"/>
  <c r="H24" i="11"/>
  <c r="H23" i="11"/>
  <c r="H22" i="11"/>
  <c r="H42" i="11"/>
  <c r="H41" i="11"/>
  <c r="H40" i="11"/>
  <c r="H39" i="11"/>
  <c r="H38" i="11"/>
  <c r="H37" i="11"/>
  <c r="H36" i="11"/>
  <c r="H55" i="11"/>
  <c r="H54" i="11"/>
  <c r="H53" i="11"/>
  <c r="H52" i="11"/>
  <c r="H51" i="11"/>
  <c r="H50" i="11"/>
  <c r="H49" i="11"/>
  <c r="H65" i="11"/>
  <c r="H64" i="11"/>
  <c r="H63" i="11"/>
  <c r="H62" i="11"/>
  <c r="H78" i="11"/>
  <c r="H77" i="11"/>
  <c r="H76" i="11"/>
  <c r="H75" i="11"/>
  <c r="H74" i="11"/>
  <c r="H73" i="11"/>
  <c r="H72" i="11"/>
  <c r="H89" i="11"/>
  <c r="H88" i="11"/>
  <c r="H87" i="11"/>
  <c r="H86" i="11"/>
  <c r="H85" i="11"/>
  <c r="H102" i="11"/>
  <c r="H101" i="11"/>
  <c r="H100" i="11"/>
  <c r="H99" i="11"/>
  <c r="H98" i="11"/>
  <c r="H97" i="11"/>
  <c r="H96" i="11"/>
  <c r="F127" i="11"/>
  <c r="F131" i="11"/>
  <c r="F130" i="11"/>
  <c r="F129" i="11"/>
  <c r="F128" i="11"/>
  <c r="E129" i="11"/>
  <c r="E127" i="11"/>
  <c r="E128" i="11"/>
  <c r="E126" i="11"/>
  <c r="E124" i="11"/>
  <c r="E122" i="11"/>
  <c r="E119" i="11"/>
  <c r="E118" i="11"/>
  <c r="E116" i="11"/>
  <c r="F116" i="11"/>
  <c r="F115" i="11"/>
  <c r="F114" i="11"/>
  <c r="E114" i="11"/>
  <c r="E113" i="11"/>
  <c r="E109" i="11"/>
  <c r="E108" i="11"/>
  <c r="F105" i="11"/>
  <c r="E106" i="11"/>
  <c r="E105" i="11"/>
  <c r="F104" i="11"/>
  <c r="CV6" i="11"/>
  <c r="E104" i="11"/>
  <c r="E100" i="11"/>
  <c r="E97" i="11"/>
  <c r="E96" i="11"/>
  <c r="F96" i="11"/>
  <c r="F95" i="11"/>
  <c r="E95" i="11"/>
  <c r="E94" i="11"/>
  <c r="E88" i="11"/>
  <c r="E86" i="11"/>
  <c r="E77" i="11"/>
  <c r="E75" i="11"/>
  <c r="E72" i="11"/>
  <c r="F72" i="11"/>
  <c r="F71" i="11"/>
  <c r="E71" i="11"/>
  <c r="F70" i="11"/>
  <c r="E70" i="11"/>
  <c r="F69" i="11"/>
  <c r="E69" i="11"/>
  <c r="F68" i="11"/>
  <c r="E68" i="11"/>
  <c r="F67" i="11"/>
  <c r="E67" i="11"/>
  <c r="E63" i="11"/>
  <c r="F63" i="11"/>
  <c r="E64" i="11" s="1"/>
  <c r="F64" i="11" s="1"/>
  <c r="E65" i="11" s="1"/>
  <c r="F65" i="11" s="1"/>
  <c r="F62" i="11"/>
  <c r="E62" i="11"/>
  <c r="F61" i="11"/>
  <c r="E61" i="11"/>
  <c r="H61" i="11" s="1"/>
  <c r="E60" i="11"/>
  <c r="F60" i="11" s="1"/>
  <c r="H60" i="11" s="1"/>
  <c r="F59" i="11"/>
  <c r="E59" i="11"/>
  <c r="H59" i="11" s="1"/>
  <c r="F58" i="11"/>
  <c r="E58" i="11"/>
  <c r="H58" i="11" s="1"/>
  <c r="F57" i="11"/>
  <c r="H57" i="11" s="1"/>
  <c r="E57" i="11"/>
  <c r="F55" i="11"/>
  <c r="E55" i="11"/>
  <c r="F54" i="11"/>
  <c r="E54" i="11"/>
  <c r="F53" i="11"/>
  <c r="E53" i="11"/>
  <c r="E44" i="11"/>
  <c r="E40" i="11"/>
  <c r="E37" i="11"/>
  <c r="E23" i="11"/>
  <c r="E14" i="11"/>
  <c r="F14" i="11"/>
  <c r="E15" i="11" s="1"/>
  <c r="F15" i="11" s="1"/>
  <c r="E17" i="11" s="1"/>
  <c r="F17" i="11" s="1"/>
  <c r="E18" i="11" s="1"/>
  <c r="F18" i="11" s="1"/>
  <c r="E19" i="11" s="1"/>
  <c r="F19" i="11" s="1"/>
  <c r="E20" i="11" s="1"/>
  <c r="F20" i="11" s="1"/>
  <c r="E21" i="11" s="1"/>
  <c r="F21" i="11" s="1"/>
  <c r="E22" i="11" s="1"/>
  <c r="F22" i="11" s="1"/>
  <c r="F23" i="11" s="1"/>
  <c r="E24" i="11" s="1"/>
  <c r="F24" i="11" s="1"/>
  <c r="F13" i="11"/>
  <c r="E13" i="11"/>
  <c r="E12" i="11"/>
  <c r="F12" i="11"/>
  <c r="F11" i="11"/>
  <c r="E11" i="11"/>
  <c r="F10" i="11"/>
  <c r="E10" i="11"/>
  <c r="H117" i="11"/>
  <c r="H104" i="11"/>
  <c r="H103" i="11"/>
  <c r="H90" i="11"/>
  <c r="H79" i="11"/>
  <c r="H69" i="11"/>
  <c r="H68" i="11"/>
  <c r="H67" i="11"/>
  <c r="H66" i="11"/>
  <c r="H56" i="11"/>
  <c r="H16" i="11"/>
  <c r="H7" i="11"/>
  <c r="H105" i="11" l="1"/>
  <c r="F106" i="11"/>
  <c r="E107" i="11" s="1"/>
  <c r="E73" i="11"/>
  <c r="F73" i="11" s="1"/>
  <c r="E74" i="11" s="1"/>
  <c r="F74" i="11" s="1"/>
  <c r="H71" i="11"/>
  <c r="E25" i="11"/>
  <c r="F25" i="11" s="1"/>
  <c r="E26" i="11" s="1"/>
  <c r="F26" i="11" s="1"/>
  <c r="E9" i="11"/>
  <c r="F9" i="11" s="1"/>
  <c r="H106" i="11" l="1"/>
  <c r="F107" i="11"/>
  <c r="F75" i="11"/>
  <c r="H70" i="11"/>
  <c r="E27" i="11"/>
  <c r="F27" i="11" s="1"/>
  <c r="E28" i="11" s="1"/>
  <c r="F28" i="11" s="1"/>
  <c r="E29" i="11" s="1"/>
  <c r="F29" i="11" s="1"/>
  <c r="E31" i="11" s="1"/>
  <c r="I5" i="11"/>
  <c r="I6" i="11" s="1"/>
  <c r="H43" i="11"/>
  <c r="H30" i="11"/>
  <c r="H8" i="11"/>
  <c r="H107" i="11" l="1"/>
  <c r="E76" i="11"/>
  <c r="F76" i="11" s="1"/>
  <c r="F77" i="11" s="1"/>
  <c r="E78" i="11" s="1"/>
  <c r="F78" i="11" s="1"/>
  <c r="E80" i="11" s="1"/>
  <c r="F31" i="11"/>
  <c r="E32" i="11" s="1"/>
  <c r="H31" i="11"/>
  <c r="H9" i="11"/>
  <c r="F108" i="11" l="1"/>
  <c r="F80" i="11"/>
  <c r="E81" i="11" s="1"/>
  <c r="H80" i="11"/>
  <c r="F32" i="11"/>
  <c r="E33" i="11" s="1"/>
  <c r="F33" i="11" s="1"/>
  <c r="E34" i="11" s="1"/>
  <c r="F34" i="11" s="1"/>
  <c r="E35" i="11" s="1"/>
  <c r="F35" i="11" s="1"/>
  <c r="E36" i="11" s="1"/>
  <c r="F36" i="11" s="1"/>
  <c r="F37" i="11" s="1"/>
  <c r="E38" i="11" s="1"/>
  <c r="F38" i="11" s="1"/>
  <c r="E39" i="11" s="1"/>
  <c r="F39" i="11" s="1"/>
  <c r="F40" i="11" s="1"/>
  <c r="E41" i="11" s="1"/>
  <c r="F41" i="11" s="1"/>
  <c r="E42" i="11" s="1"/>
  <c r="F42" i="11" s="1"/>
  <c r="F44" i="11" s="1"/>
  <c r="E45" i="11" s="1"/>
  <c r="H32" i="11"/>
  <c r="H44" i="11"/>
  <c r="H35" i="11"/>
  <c r="H33" i="11"/>
  <c r="H17" i="11"/>
  <c r="H13" i="11"/>
  <c r="J5" i="11"/>
  <c r="F109" i="11" l="1"/>
  <c r="H108" i="11"/>
  <c r="F81" i="11"/>
  <c r="E82" i="11" s="1"/>
  <c r="F45" i="11"/>
  <c r="E46" i="11" s="1"/>
  <c r="H45" i="11"/>
  <c r="K5" i="11"/>
  <c r="E110" i="11" l="1"/>
  <c r="F110" i="11" s="1"/>
  <c r="E111" i="11" s="1"/>
  <c r="F111" i="11" s="1"/>
  <c r="E112" i="11" s="1"/>
  <c r="F112" i="11" s="1"/>
  <c r="F113" i="11" s="1"/>
  <c r="H81" i="11"/>
  <c r="F82" i="11"/>
  <c r="E83" i="11" s="1"/>
  <c r="F46" i="11"/>
  <c r="E47" i="11" s="1"/>
  <c r="H46" i="11"/>
  <c r="L5" i="11"/>
  <c r="F83" i="11" l="1"/>
  <c r="E84" i="11" s="1"/>
  <c r="H82" i="11"/>
  <c r="F47" i="11"/>
  <c r="E48" i="11" s="1"/>
  <c r="H47" i="11"/>
  <c r="M5" i="11"/>
  <c r="E115" i="11" l="1"/>
  <c r="H83" i="11"/>
  <c r="F84" i="11"/>
  <c r="E85" i="11" s="1"/>
  <c r="F85" i="11" s="1"/>
  <c r="F86" i="11" s="1"/>
  <c r="E87" i="11" s="1"/>
  <c r="F87" i="11" s="1"/>
  <c r="F48" i="11"/>
  <c r="E49" i="11" s="1"/>
  <c r="F49" i="11" s="1"/>
  <c r="E50" i="11" s="1"/>
  <c r="F50" i="11" s="1"/>
  <c r="E51" i="11" s="1"/>
  <c r="F51" i="11" s="1"/>
  <c r="E52" i="11" s="1"/>
  <c r="F52" i="11" s="1"/>
  <c r="H48" i="11"/>
  <c r="N5" i="11"/>
  <c r="F118" i="11" l="1"/>
  <c r="H84" i="11"/>
  <c r="F88" i="11"/>
  <c r="E89" i="11" s="1"/>
  <c r="F89" i="11" s="1"/>
  <c r="E91" i="11" s="1"/>
  <c r="O5" i="11"/>
  <c r="H118" i="11" l="1"/>
  <c r="F119" i="11"/>
  <c r="E120" i="11" s="1"/>
  <c r="F91" i="11"/>
  <c r="E92" i="11" s="1"/>
  <c r="P5" i="11"/>
  <c r="P6" i="11" s="1"/>
  <c r="O6" i="11"/>
  <c r="N6" i="11"/>
  <c r="M6" i="11"/>
  <c r="L6" i="11"/>
  <c r="K6" i="11"/>
  <c r="J6" i="11"/>
  <c r="I4" i="11"/>
  <c r="H119" i="11" l="1"/>
  <c r="F120" i="11"/>
  <c r="E121" i="11" s="1"/>
  <c r="F92" i="11"/>
  <c r="E93" i="11" s="1"/>
  <c r="H91" i="11"/>
  <c r="H34" i="11"/>
  <c r="H18" i="11"/>
  <c r="H11" i="11"/>
  <c r="H12" i="11"/>
  <c r="P4" i="11"/>
  <c r="Q5" i="11"/>
  <c r="H120" i="11" l="1"/>
  <c r="F121" i="11"/>
  <c r="H92" i="11"/>
  <c r="F93" i="11"/>
  <c r="R5" i="11"/>
  <c r="H121" i="11" l="1"/>
  <c r="F122" i="11"/>
  <c r="E123" i="11" s="1"/>
  <c r="F123" i="11" s="1"/>
  <c r="F124" i="11" s="1"/>
  <c r="E125" i="11" s="1"/>
  <c r="F125" i="11" s="1"/>
  <c r="H93" i="11"/>
  <c r="F94" i="11"/>
  <c r="S5" i="11"/>
  <c r="F126" i="11" l="1"/>
  <c r="H122" i="11"/>
  <c r="H94" i="11"/>
  <c r="T5" i="11"/>
  <c r="F97" i="11" l="1"/>
  <c r="E98" i="11" s="1"/>
  <c r="F98" i="11" s="1"/>
  <c r="E99" i="11" s="1"/>
  <c r="F99" i="11" s="1"/>
  <c r="H95" i="11"/>
  <c r="U5" i="11"/>
  <c r="E130" i="11" l="1"/>
  <c r="E101" i="11"/>
  <c r="F100" i="11"/>
  <c r="F101" i="11"/>
  <c r="E102" i="11"/>
  <c r="F102" i="11" s="1"/>
  <c r="V5" i="11"/>
  <c r="E131" i="11" l="1"/>
  <c r="W5" i="11"/>
  <c r="W6" i="11" s="1"/>
  <c r="V6" i="11"/>
  <c r="U6" i="11"/>
  <c r="T6" i="11"/>
  <c r="S6" i="11"/>
  <c r="R6" i="11"/>
  <c r="Q6" i="11"/>
  <c r="H21" i="11"/>
  <c r="H20" i="11"/>
  <c r="H19" i="11"/>
  <c r="W4" i="11" l="1"/>
  <c r="X5" i="11"/>
  <c r="Y5" i="11" s="1"/>
  <c r="Z5" i="11" l="1"/>
  <c r="AA5" i="11" l="1"/>
  <c r="AB5" i="11" l="1"/>
  <c r="AC5" i="11" l="1"/>
  <c r="AD5" i="11" l="1"/>
  <c r="AD6" i="11" s="1"/>
  <c r="AC6" i="11"/>
  <c r="AB6" i="11"/>
  <c r="AA6" i="11"/>
  <c r="Z6" i="11"/>
  <c r="Y6" i="11"/>
  <c r="X6" i="11"/>
  <c r="AE5" i="11" l="1"/>
  <c r="AF5" i="11" s="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 r="BM5" i="11" l="1"/>
  <c r="BM6" i="11" s="1"/>
  <c r="BM4" i="11" l="1"/>
  <c r="BN5" i="11"/>
  <c r="BN6" i="11"/>
  <c r="BO5" i="11"/>
  <c r="BO6" i="11" l="1"/>
  <c r="BP5" i="11"/>
  <c r="BP6" i="11" l="1"/>
  <c r="BQ5" i="11"/>
  <c r="BQ6" i="11" l="1"/>
  <c r="BR5" i="11"/>
  <c r="BR6" i="11" l="1"/>
  <c r="BS5" i="11"/>
  <c r="BS6" i="11" l="1"/>
  <c r="BT5" i="11"/>
  <c r="BT6" i="11" l="1"/>
  <c r="BU5" i="11"/>
  <c r="BT4" i="11"/>
  <c r="BU6" i="11" l="1"/>
  <c r="BV5" i="11"/>
  <c r="BV6" i="11" l="1"/>
  <c r="BW5" i="11"/>
  <c r="BW6" i="11" l="1"/>
  <c r="BX5" i="11"/>
  <c r="BX6" i="11" l="1"/>
  <c r="BY5" i="11"/>
  <c r="BY6" i="11" l="1"/>
  <c r="BZ5" i="11"/>
  <c r="BZ6" i="11" l="1"/>
  <c r="CA5" i="11"/>
  <c r="CA4" i="11" l="1"/>
  <c r="CA6" i="11"/>
  <c r="CB5" i="11"/>
  <c r="CB6" i="11" l="1"/>
  <c r="CC5" i="11"/>
  <c r="CC6" i="11" l="1"/>
  <c r="CD5" i="11"/>
  <c r="CD6" i="11" l="1"/>
  <c r="CE5" i="11"/>
  <c r="CE6" i="11" l="1"/>
  <c r="CF5" i="11"/>
  <c r="CF6" i="11" l="1"/>
  <c r="CG5" i="11"/>
  <c r="CG6" i="11" l="1"/>
  <c r="CH5" i="11"/>
  <c r="CH4" i="11" l="1"/>
  <c r="CH6" i="11"/>
  <c r="CI5" i="11"/>
  <c r="CI6" i="11" l="1"/>
  <c r="CJ5" i="11"/>
  <c r="CJ6" i="11" l="1"/>
  <c r="CK5" i="11"/>
  <c r="CK6" i="11" l="1"/>
  <c r="CL5" i="11"/>
  <c r="CL6" i="11" l="1"/>
  <c r="CM5" i="11"/>
  <c r="CM6" i="11" l="1"/>
  <c r="CN5" i="11"/>
  <c r="CN6" i="11" l="1"/>
  <c r="CO5" i="11"/>
  <c r="CO4" i="11" l="1"/>
  <c r="CO6" i="11"/>
  <c r="CP5" i="11"/>
  <c r="CP6" i="11" l="1"/>
  <c r="CQ5" i="11"/>
  <c r="CQ6" i="11" l="1"/>
  <c r="CR5" i="11"/>
  <c r="CR6" i="11" l="1"/>
  <c r="CS5" i="11"/>
  <c r="CS6" i="11" l="1"/>
  <c r="CT5" i="11"/>
  <c r="CT6" i="11" l="1"/>
  <c r="CU5" i="11"/>
  <c r="CU6" i="11" l="1"/>
  <c r="CV5" i="11"/>
  <c r="CV4" i="11" l="1"/>
  <c r="CW5" i="11"/>
  <c r="CW6" i="11" l="1"/>
  <c r="CX5" i="11"/>
  <c r="CX6" i="11" l="1"/>
  <c r="CY5" i="11"/>
  <c r="CY6" i="11" l="1"/>
  <c r="CZ5" i="11"/>
  <c r="CZ6" i="11" l="1"/>
  <c r="DA5" i="11"/>
  <c r="DA6" i="11" l="1"/>
  <c r="DB5" i="11"/>
  <c r="DB6" i="11" l="1"/>
  <c r="DC5" i="11"/>
  <c r="DC6" i="11" l="1"/>
  <c r="DD5" i="11"/>
  <c r="DC4" i="11"/>
  <c r="DD6" i="11" l="1"/>
  <c r="DE5" i="11"/>
  <c r="DE6" i="11" l="1"/>
  <c r="DF5" i="11"/>
  <c r="DG5" i="11" l="1"/>
  <c r="DF6" i="11"/>
  <c r="DH5" i="11" l="1"/>
  <c r="DG6" i="11"/>
  <c r="DI5" i="11" l="1"/>
  <c r="DH6" i="11"/>
  <c r="DI6" i="11" l="1"/>
  <c r="DJ5" i="11"/>
  <c r="DJ6" i="11" l="1"/>
  <c r="DK5" i="11"/>
  <c r="DJ4" i="11"/>
  <c r="DK6" i="11" l="1"/>
  <c r="DL5" i="11"/>
  <c r="DL6" i="11" l="1"/>
  <c r="DM5" i="11"/>
  <c r="DM6" i="11" l="1"/>
  <c r="DN5" i="11"/>
  <c r="DN6" i="11" l="1"/>
  <c r="H10" i="11" l="1"/>
</calcChain>
</file>

<file path=xl/sharedStrings.xml><?xml version="1.0" encoding="utf-8"?>
<sst xmlns="http://schemas.openxmlformats.org/spreadsheetml/2006/main" count="285" uniqueCount="164">
  <si>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</si>
  <si>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</si>
  <si>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</si>
  <si>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</si>
  <si>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</si>
  <si>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</si>
  <si>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</si>
  <si>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</si>
  <si>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</si>
  <si>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</si>
  <si>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</si>
  <si>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</si>
  <si>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タスク</t>
  </si>
  <si>
    <t>プロジェクトの開始:</t>
  </si>
  <si>
    <t>週表示:</t>
  </si>
  <si>
    <t>進捗状況</t>
  </si>
  <si>
    <t>開始</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</si>
  <si>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</si>
  <si>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</si>
  <si>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</si>
  <si>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</si>
  <si>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</si>
  <si>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</si>
  <si>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</si>
  <si>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</si>
  <si>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</si>
  <si>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</si>
  <si>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</si>
  <si>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</si>
  <si>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</si>
  <si>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</si>
  <si>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</si>
  <si>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</si>
  <si>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担当者</t>
    <phoneticPr fontId="26"/>
  </si>
  <si>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</si>
  <si>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嘘情報×</t>
    <rPh sb="0" eb="3">
      <t>ウソジョウホウ</t>
    </rPh>
    <phoneticPr fontId="26"/>
  </si>
  <si>
    <t>穴吹ビジネス専門学校ゲームクリエイター学科</t>
    <phoneticPr fontId="26"/>
  </si>
  <si>
    <t>プロジェクト主任　宮地悠梓</t>
    <rPh sb="9" eb="13">
      <t>ミヤチユウアズサ</t>
    </rPh>
    <phoneticPr fontId="26"/>
  </si>
  <si>
    <t>宮地</t>
  </si>
  <si>
    <t>宮地</t>
    <rPh sb="0" eb="2">
      <t>ミヤチ</t>
    </rPh>
    <phoneticPr fontId="26"/>
  </si>
  <si>
    <t>企画・制作準備</t>
    <rPh sb="0" eb="2">
      <t>キカク</t>
    </rPh>
    <rPh sb="3" eb="5">
      <t>セイサク</t>
    </rPh>
    <rPh sb="5" eb="7">
      <t>ジュンビ</t>
    </rPh>
    <phoneticPr fontId="26"/>
  </si>
  <si>
    <t>Unityプロジェクト作成</t>
    <rPh sb="11" eb="13">
      <t>サクセイ</t>
    </rPh>
    <phoneticPr fontId="26"/>
  </si>
  <si>
    <t>プロジェクトフォルダ整理</t>
    <rPh sb="10" eb="12">
      <t>セイリ</t>
    </rPh>
    <phoneticPr fontId="26"/>
  </si>
  <si>
    <t>ゲームシーン作成</t>
    <rPh sb="6" eb="8">
      <t>サクセイ</t>
    </rPh>
    <phoneticPr fontId="26"/>
  </si>
  <si>
    <t>ゲーム仕様の最終確認</t>
    <rPh sb="3" eb="5">
      <t>シヨウ</t>
    </rPh>
    <rPh sb="6" eb="10">
      <t>サイシュウカクニン</t>
    </rPh>
    <phoneticPr fontId="26"/>
  </si>
  <si>
    <t>必要なUI・素材の洗い出し</t>
    <rPh sb="0" eb="2">
      <t>ヒツヨウ</t>
    </rPh>
    <rPh sb="6" eb="8">
      <t>ソザイ</t>
    </rPh>
    <rPh sb="9" eb="10">
      <t>アラ</t>
    </rPh>
    <rPh sb="11" eb="12">
      <t>ダ</t>
    </rPh>
    <phoneticPr fontId="26"/>
  </si>
  <si>
    <t>情報データ作成</t>
    <rPh sb="0" eb="2">
      <t>ジョウホウ</t>
    </rPh>
    <rPh sb="5" eb="7">
      <t>サクセイ</t>
    </rPh>
    <phoneticPr fontId="26"/>
  </si>
  <si>
    <t>制作環境・動作確認</t>
    <rPh sb="0" eb="4">
      <t>セイサクカンキョウ</t>
    </rPh>
    <rPh sb="5" eb="9">
      <t>ドウサカクニン</t>
    </rPh>
    <phoneticPr fontId="26"/>
  </si>
  <si>
    <t>3D空間・プレイヤー</t>
    <rPh sb="2" eb="4">
      <t>クウカン</t>
    </rPh>
    <phoneticPr fontId="26"/>
  </si>
  <si>
    <t>床オブジェクト作成</t>
    <rPh sb="0" eb="1">
      <t>ユカ</t>
    </rPh>
    <rPh sb="7" eb="9">
      <t>サクセイ</t>
    </rPh>
    <phoneticPr fontId="26"/>
  </si>
  <si>
    <t>壁オブジェクト作成</t>
    <rPh sb="0" eb="1">
      <t>カベ</t>
    </rPh>
    <rPh sb="7" eb="9">
      <t>サクセイ</t>
    </rPh>
    <phoneticPr fontId="26"/>
  </si>
  <si>
    <t>仮想空間の基本配置</t>
    <rPh sb="0" eb="4">
      <t>カソウクウカン</t>
    </rPh>
    <rPh sb="5" eb="9">
      <t>キホンハイチ</t>
    </rPh>
    <phoneticPr fontId="26"/>
  </si>
  <si>
    <t>情報オブジェクトの仮配置</t>
    <rPh sb="0" eb="2">
      <t>ジョウホウ</t>
    </rPh>
    <rPh sb="9" eb="12">
      <t>カリハイチ</t>
    </rPh>
    <phoneticPr fontId="26"/>
  </si>
  <si>
    <t>プレイヤーオブジェクト作成</t>
    <rPh sb="11" eb="13">
      <t>サクセイ</t>
    </rPh>
    <phoneticPr fontId="26"/>
  </si>
  <si>
    <t>プレイヤーの位置・サイズ調整</t>
    <rPh sb="6" eb="8">
      <t>イチ</t>
    </rPh>
    <rPh sb="12" eb="14">
      <t>チョウセイ</t>
    </rPh>
    <phoneticPr fontId="26"/>
  </si>
  <si>
    <t>プレイヤー移動スクリプト作成</t>
    <rPh sb="5" eb="7">
      <t>イドウ</t>
    </rPh>
    <rPh sb="12" eb="14">
      <t>サクセイ</t>
    </rPh>
    <phoneticPr fontId="26"/>
  </si>
  <si>
    <t>WASD移動実装</t>
    <rPh sb="4" eb="6">
      <t>イドウ</t>
    </rPh>
    <rPh sb="6" eb="8">
      <t>ジッソウ</t>
    </rPh>
    <phoneticPr fontId="26"/>
  </si>
  <si>
    <t>移動速度の設定</t>
    <rPh sb="0" eb="4">
      <t>イドウソクド</t>
    </rPh>
    <rPh sb="5" eb="7">
      <t>セッテイ</t>
    </rPh>
    <phoneticPr fontId="26"/>
  </si>
  <si>
    <t>　カメラ作成</t>
    <rPh sb="4" eb="6">
      <t>サクセイ</t>
    </rPh>
    <phoneticPr fontId="26"/>
  </si>
  <si>
    <t>マウスによる視点操作実装</t>
    <rPh sb="6" eb="12">
      <t>シテンソウサジッソウ</t>
    </rPh>
    <phoneticPr fontId="26"/>
  </si>
  <si>
    <t>カメラの追従・角度調整</t>
    <rPh sb="4" eb="6">
      <t>ツイジュウ</t>
    </rPh>
    <rPh sb="7" eb="11">
      <t>カクドチョウセイ</t>
    </rPh>
    <phoneticPr fontId="26"/>
  </si>
  <si>
    <t>プレイヤーの移動・視点テスト</t>
    <rPh sb="6" eb="8">
      <t>イドウ</t>
    </rPh>
    <rPh sb="9" eb="11">
      <t>シテン</t>
    </rPh>
    <phoneticPr fontId="26"/>
  </si>
  <si>
    <t>情報の読み込み・表示</t>
    <rPh sb="0" eb="2">
      <t>ジョウホウ</t>
    </rPh>
    <rPh sb="8" eb="10">
      <t>ヒョウジ</t>
    </rPh>
    <phoneticPr fontId="26"/>
  </si>
  <si>
    <t>情報オブジェクトの配置調整</t>
    <rPh sb="0" eb="2">
      <t>ジョウホウ</t>
    </rPh>
    <rPh sb="9" eb="13">
      <t>ハイチチョウセイ</t>
    </rPh>
    <phoneticPr fontId="26"/>
  </si>
  <si>
    <t>情報オブジェクトへの接近判定実装</t>
    <rPh sb="0" eb="2">
      <t>ジョウホウ</t>
    </rPh>
    <rPh sb="10" eb="16">
      <t>セッキンハンテイジッソウ</t>
    </rPh>
    <phoneticPr fontId="26"/>
  </si>
  <si>
    <t>情報読み込み処理作成</t>
    <rPh sb="0" eb="2">
      <t>ジョウホウ</t>
    </rPh>
    <rPh sb="2" eb="3">
      <t>ヨ</t>
    </rPh>
    <rPh sb="4" eb="5">
      <t>コ</t>
    </rPh>
    <rPh sb="6" eb="10">
      <t>ショリサクセイ</t>
    </rPh>
    <phoneticPr fontId="26"/>
  </si>
  <si>
    <t>読み込み時間の設定</t>
    <rPh sb="0" eb="1">
      <t>ヨ</t>
    </rPh>
    <rPh sb="2" eb="3">
      <t>コ</t>
    </rPh>
    <rPh sb="4" eb="6">
      <t>ジカン</t>
    </rPh>
    <rPh sb="7" eb="9">
      <t>セッテイ</t>
    </rPh>
    <phoneticPr fontId="26"/>
  </si>
  <si>
    <t>読み込み中のUI作成</t>
    <rPh sb="0" eb="1">
      <t>ヨ</t>
    </rPh>
    <rPh sb="2" eb="3">
      <t>コ</t>
    </rPh>
    <rPh sb="4" eb="5">
      <t>チュウ</t>
    </rPh>
    <rPh sb="8" eb="10">
      <t>サクセイ</t>
    </rPh>
    <phoneticPr fontId="26"/>
  </si>
  <si>
    <t>読み込み完了処理実装</t>
    <rPh sb="0" eb="1">
      <t>ヨ</t>
    </rPh>
    <rPh sb="2" eb="3">
      <t>コ</t>
    </rPh>
    <rPh sb="4" eb="10">
      <t>カンリョウショリジッソウ</t>
    </rPh>
    <phoneticPr fontId="26"/>
  </si>
  <si>
    <t>情報ウィンドウ作成</t>
    <rPh sb="0" eb="2">
      <t>ジョウホウ</t>
    </rPh>
    <rPh sb="7" eb="9">
      <t>サクセイ</t>
    </rPh>
    <phoneticPr fontId="26"/>
  </si>
  <si>
    <t>情報タイトル・本文の表示</t>
    <rPh sb="0" eb="2">
      <t>ジョウホウ</t>
    </rPh>
    <rPh sb="7" eb="9">
      <t>ホンブン</t>
    </rPh>
    <rPh sb="10" eb="12">
      <t>ヒョウジ</t>
    </rPh>
    <phoneticPr fontId="26"/>
  </si>
  <si>
    <t>正しい情報リストの表示</t>
    <rPh sb="0" eb="1">
      <t>タダ</t>
    </rPh>
    <rPh sb="3" eb="5">
      <t>ジョウホウ</t>
    </rPh>
    <rPh sb="9" eb="11">
      <t>ヒョウジ</t>
    </rPh>
    <phoneticPr fontId="26"/>
  </si>
  <si>
    <t>情報ウィンドウの閉じる処理実装</t>
    <rPh sb="0" eb="2">
      <t>ジョウホウ</t>
    </rPh>
    <rPh sb="8" eb="9">
      <t>ト</t>
    </rPh>
    <rPh sb="11" eb="15">
      <t>ショリジッソウ</t>
    </rPh>
    <phoneticPr fontId="26"/>
  </si>
  <si>
    <t>読み込み中の移動・視点操作制限</t>
    <rPh sb="0" eb="1">
      <t>ヨ</t>
    </rPh>
    <rPh sb="2" eb="3">
      <t>コ</t>
    </rPh>
    <rPh sb="4" eb="5">
      <t>チュウ</t>
    </rPh>
    <rPh sb="6" eb="8">
      <t>イドウ</t>
    </rPh>
    <rPh sb="9" eb="15">
      <t>シテンソウサセイゲン</t>
    </rPh>
    <phoneticPr fontId="26"/>
  </si>
  <si>
    <t>情報表示・読み込みの動作テスト</t>
    <rPh sb="0" eb="4">
      <t>ジョウホウヒョウジ</t>
    </rPh>
    <rPh sb="5" eb="6">
      <t>ヨ</t>
    </rPh>
    <rPh sb="7" eb="8">
      <t>コ</t>
    </rPh>
    <rPh sb="10" eb="12">
      <t>ドウサ</t>
    </rPh>
    <phoneticPr fontId="26"/>
  </si>
  <si>
    <t>真偽判定・スコア・アルファ版提出</t>
    <rPh sb="0" eb="4">
      <t>シンギハンテイ</t>
    </rPh>
    <rPh sb="13" eb="16">
      <t>バンテイシュツ</t>
    </rPh>
    <phoneticPr fontId="26"/>
  </si>
  <si>
    <t>情報の真偽データ設定</t>
    <rPh sb="0" eb="2">
      <t>ジョウホウ</t>
    </rPh>
    <rPh sb="3" eb="5">
      <t>シンギ</t>
    </rPh>
    <rPh sb="8" eb="10">
      <t>セッテイ</t>
    </rPh>
    <phoneticPr fontId="26"/>
  </si>
  <si>
    <t>嘘情報の削除処理実装</t>
    <rPh sb="0" eb="3">
      <t>ウソジョウホウ</t>
    </rPh>
    <rPh sb="4" eb="10">
      <t>サクジョショリジッソウ</t>
    </rPh>
    <phoneticPr fontId="26"/>
  </si>
  <si>
    <t>真情報の判定処理実装</t>
    <rPh sb="0" eb="3">
      <t>シンジョウホウ</t>
    </rPh>
    <rPh sb="4" eb="8">
      <t>ハンテイショリ</t>
    </rPh>
    <rPh sb="8" eb="10">
      <t>ジッソウ</t>
    </rPh>
    <phoneticPr fontId="26"/>
  </si>
  <si>
    <t>嘘情報削除時の得点加算処理</t>
    <rPh sb="0" eb="6">
      <t>ウソジョウホウサクジョジ</t>
    </rPh>
    <rPh sb="7" eb="13">
      <t>トクテンカサンショリ</t>
    </rPh>
    <phoneticPr fontId="26"/>
  </si>
  <si>
    <t>真情報削除時の減点処理</t>
    <rPh sb="0" eb="3">
      <t>シンジョウホウ</t>
    </rPh>
    <rPh sb="3" eb="6">
      <t>サクジョジ</t>
    </rPh>
    <rPh sb="7" eb="11">
      <t>ゲンテンショリ</t>
    </rPh>
    <phoneticPr fontId="26"/>
  </si>
  <si>
    <t>情報レベル別の得点設定</t>
    <rPh sb="0" eb="2">
      <t>ジョウホウ</t>
    </rPh>
    <rPh sb="5" eb="6">
      <t>ベツ</t>
    </rPh>
    <rPh sb="7" eb="11">
      <t>トクテンセッテイ</t>
    </rPh>
    <phoneticPr fontId="26"/>
  </si>
  <si>
    <t>判定結果の表示処理実装</t>
    <rPh sb="0" eb="4">
      <t>ハンテイケッカ</t>
    </rPh>
    <rPh sb="5" eb="11">
      <t>ヒョウジショリジッソウ</t>
    </rPh>
    <phoneticPr fontId="26"/>
  </si>
  <si>
    <t>判定後の自動終了処理実装</t>
    <rPh sb="0" eb="3">
      <t>ハンテイゴ</t>
    </rPh>
    <rPh sb="4" eb="12">
      <t>ジドウシュウリョウショリジッソウ</t>
    </rPh>
    <phoneticPr fontId="26"/>
  </si>
  <si>
    <t>判定済み情報の再判定防止</t>
    <rPh sb="0" eb="3">
      <t>ハンテイズ</t>
    </rPh>
    <rPh sb="4" eb="6">
      <t>ジョウホウ</t>
    </rPh>
    <rPh sb="7" eb="10">
      <t>サイハンテイ</t>
    </rPh>
    <rPh sb="10" eb="12">
      <t>ボウシ</t>
    </rPh>
    <phoneticPr fontId="26"/>
  </si>
  <si>
    <t>アルファ版の通しテスト</t>
    <rPh sb="4" eb="5">
      <t>バン</t>
    </rPh>
    <rPh sb="6" eb="7">
      <t>トオ</t>
    </rPh>
    <phoneticPr fontId="26"/>
  </si>
  <si>
    <t>アルファ版の不具合修正</t>
    <rPh sb="4" eb="5">
      <t>バン</t>
    </rPh>
    <rPh sb="6" eb="11">
      <t>フグアイシュウセイ</t>
    </rPh>
    <phoneticPr fontId="26"/>
  </si>
  <si>
    <t>アルファ版提出データ作成・提出</t>
    <rPh sb="4" eb="7">
      <t>バンテイシュツ</t>
    </rPh>
    <rPh sb="10" eb="12">
      <t>サクセイ</t>
    </rPh>
    <rPh sb="13" eb="15">
      <t>テイシュツ</t>
    </rPh>
    <phoneticPr fontId="26"/>
  </si>
  <si>
    <t>制限時間・ゲーム進行</t>
    <rPh sb="0" eb="4">
      <t>セイゲンジカン</t>
    </rPh>
    <rPh sb="8" eb="10">
      <t>シンコウ</t>
    </rPh>
    <phoneticPr fontId="26"/>
  </si>
  <si>
    <t>タイトル・ボーズ・リザルト</t>
    <phoneticPr fontId="26"/>
  </si>
  <si>
    <t>記憶容量・読み込み速度の強化</t>
    <rPh sb="0" eb="4">
      <t>キオクヨウリョウ</t>
    </rPh>
    <rPh sb="5" eb="6">
      <t>ヨ</t>
    </rPh>
    <rPh sb="7" eb="8">
      <t>コ</t>
    </rPh>
    <rPh sb="9" eb="11">
      <t>ソクド</t>
    </rPh>
    <rPh sb="12" eb="14">
      <t>キョウカ</t>
    </rPh>
    <phoneticPr fontId="26"/>
  </si>
  <si>
    <t>情報追加・チュートリアル・ベータ版提出</t>
    <rPh sb="0" eb="2">
      <t>ジョウホウ</t>
    </rPh>
    <rPh sb="2" eb="4">
      <t>ツイカ</t>
    </rPh>
    <rPh sb="16" eb="17">
      <t>バン</t>
    </rPh>
    <rPh sb="17" eb="19">
      <t>テイシュツ</t>
    </rPh>
    <phoneticPr fontId="26"/>
  </si>
  <si>
    <t>演出・BGM・SE・操作性の改善</t>
    <rPh sb="0" eb="2">
      <t>エンシュツ</t>
    </rPh>
    <rPh sb="10" eb="13">
      <t>ソウサセイ</t>
    </rPh>
    <rPh sb="14" eb="16">
      <t>カイゼン</t>
    </rPh>
    <phoneticPr fontId="26"/>
  </si>
  <si>
    <t>総合テスト・最終提出</t>
    <rPh sb="0" eb="2">
      <t>ソウゴウ</t>
    </rPh>
    <rPh sb="6" eb="10">
      <t>サイシュウテイシュツ</t>
    </rPh>
    <phoneticPr fontId="26"/>
  </si>
  <si>
    <t>ゲームタイマー作成</t>
    <rPh sb="7" eb="9">
      <t>サクセイ</t>
    </rPh>
    <phoneticPr fontId="26"/>
  </si>
  <si>
    <t>残り時間UI作成</t>
    <rPh sb="0" eb="1">
      <t>ノコ</t>
    </rPh>
    <rPh sb="2" eb="4">
      <t>ジカン</t>
    </rPh>
    <rPh sb="6" eb="8">
      <t>サクセイ</t>
    </rPh>
    <phoneticPr fontId="26"/>
  </si>
  <si>
    <t>制限時間の減少処理実装</t>
    <rPh sb="0" eb="4">
      <t>セイゲンジカン</t>
    </rPh>
    <rPh sb="5" eb="11">
      <t>ゲンショウショリジッソウ</t>
    </rPh>
    <phoneticPr fontId="26"/>
  </si>
  <si>
    <t>時間切れ時のゲーム終了処理</t>
    <rPh sb="0" eb="3">
      <t>ジカンギ</t>
    </rPh>
    <rPh sb="4" eb="5">
      <t>ジ</t>
    </rPh>
    <rPh sb="9" eb="13">
      <t>シュウリョウショリ</t>
    </rPh>
    <phoneticPr fontId="26"/>
  </si>
  <si>
    <t>ゲーム中スコア表示UI作成</t>
    <rPh sb="3" eb="4">
      <t>ナカ</t>
    </rPh>
    <rPh sb="7" eb="9">
      <t>ヒョウジ</t>
    </rPh>
    <rPh sb="11" eb="13">
      <t>サクセイ</t>
    </rPh>
    <phoneticPr fontId="26"/>
  </si>
  <si>
    <t>嘘情報削除数の管理処理</t>
    <rPh sb="0" eb="3">
      <t>ウソジョウホウ</t>
    </rPh>
    <rPh sb="3" eb="6">
      <t>サクジョスウ</t>
    </rPh>
    <rPh sb="7" eb="11">
      <t>カンリショリ</t>
    </rPh>
    <phoneticPr fontId="26"/>
  </si>
  <si>
    <t>真情報誤削除数の管理処理</t>
    <rPh sb="0" eb="3">
      <t>シンジョウホウ</t>
    </rPh>
    <rPh sb="3" eb="7">
      <t>ゴサクジョスウ</t>
    </rPh>
    <rPh sb="8" eb="12">
      <t>カンリショリ</t>
    </rPh>
    <phoneticPr fontId="26"/>
  </si>
  <si>
    <t>制限時間・スコアの動作テスト</t>
    <rPh sb="0" eb="4">
      <t>セイゲンジカン</t>
    </rPh>
    <rPh sb="9" eb="11">
      <t>ドウサ</t>
    </rPh>
    <phoneticPr fontId="26"/>
  </si>
  <si>
    <t>時間切れ判定実装</t>
    <rPh sb="0" eb="3">
      <t>ジカンギ</t>
    </rPh>
    <rPh sb="4" eb="8">
      <t>ハンテイジッソウ</t>
    </rPh>
    <phoneticPr fontId="26"/>
  </si>
  <si>
    <t>タイトル画面作成</t>
    <rPh sb="4" eb="8">
      <t>ガメンサクセイ</t>
    </rPh>
    <phoneticPr fontId="26"/>
  </si>
  <si>
    <t>ゲーム開始処理実装</t>
    <rPh sb="3" eb="9">
      <t>カイシショリジッソウ</t>
    </rPh>
    <phoneticPr fontId="26"/>
  </si>
  <si>
    <t>ポーズ画面作成</t>
    <rPh sb="3" eb="7">
      <t>ガメンサクセイ</t>
    </rPh>
    <phoneticPr fontId="26"/>
  </si>
  <si>
    <t>Escキーによるポーズ処理実装</t>
    <rPh sb="11" eb="15">
      <t>ショリジッソウ</t>
    </rPh>
    <phoneticPr fontId="26"/>
  </si>
  <si>
    <t>ポーズ中のタイマー停止処理</t>
    <rPh sb="3" eb="4">
      <t>チュウ</t>
    </rPh>
    <rPh sb="9" eb="13">
      <t>テイシショリ</t>
    </rPh>
    <phoneticPr fontId="26"/>
  </si>
  <si>
    <t>ポーズ解除処理実装</t>
    <rPh sb="3" eb="9">
      <t>カイジョショリジッソウ</t>
    </rPh>
    <phoneticPr fontId="26"/>
  </si>
  <si>
    <t>リザルト画面作成</t>
    <rPh sb="4" eb="8">
      <t>ガメンサクセイ</t>
    </rPh>
    <phoneticPr fontId="26"/>
  </si>
  <si>
    <t>最終スコア表示処理</t>
    <rPh sb="0" eb="2">
      <t>サイシュウ</t>
    </rPh>
    <rPh sb="5" eb="9">
      <t>ヒョウジショリ</t>
    </rPh>
    <phoneticPr fontId="26"/>
  </si>
  <si>
    <t>判定結果の集計・表示処理</t>
    <rPh sb="0" eb="4">
      <t>ハンテイケッカ</t>
    </rPh>
    <rPh sb="5" eb="7">
      <t>シュウケイ</t>
    </rPh>
    <rPh sb="8" eb="12">
      <t>ヒョウジショリ</t>
    </rPh>
    <phoneticPr fontId="26"/>
  </si>
  <si>
    <t>リトライ処理実装</t>
    <rPh sb="4" eb="8">
      <t>ショリジッソウ</t>
    </rPh>
    <phoneticPr fontId="26"/>
  </si>
  <si>
    <t>タイトルへ戻る処理実装</t>
    <rPh sb="5" eb="6">
      <t>モド</t>
    </rPh>
    <rPh sb="7" eb="11">
      <t>ショリジッソウ</t>
    </rPh>
    <phoneticPr fontId="26"/>
  </si>
  <si>
    <t>各画面の遷移テスト</t>
    <rPh sb="0" eb="3">
      <t>カクガメン</t>
    </rPh>
    <rPh sb="4" eb="6">
      <t>センイ</t>
    </rPh>
    <phoneticPr fontId="26"/>
  </si>
  <si>
    <t>強化画面作成</t>
    <rPh sb="0" eb="6">
      <t>キョウカガメンサクセイ</t>
    </rPh>
    <phoneticPr fontId="26"/>
  </si>
  <si>
    <t>所持ポイントの管理処理</t>
    <rPh sb="0" eb="2">
      <t>ショジ</t>
    </rPh>
    <rPh sb="7" eb="11">
      <t>カンリショリ</t>
    </rPh>
    <phoneticPr fontId="26"/>
  </si>
  <si>
    <t>記憶容量の初期値・上限設定</t>
    <rPh sb="0" eb="4">
      <t>キオクヨウリョウ</t>
    </rPh>
    <rPh sb="5" eb="8">
      <t>ショキチ</t>
    </rPh>
    <rPh sb="9" eb="13">
      <t>ジョウゲンセッテイ</t>
    </rPh>
    <phoneticPr fontId="26"/>
  </si>
  <si>
    <t>記憶容量の強化処理実装</t>
    <rPh sb="0" eb="4">
      <t>キオクヨウリョウ</t>
    </rPh>
    <rPh sb="5" eb="7">
      <t>キョウカ</t>
    </rPh>
    <rPh sb="7" eb="9">
      <t>ショリ</t>
    </rPh>
    <rPh sb="9" eb="11">
      <t>ジッソウ</t>
    </rPh>
    <phoneticPr fontId="26"/>
  </si>
  <si>
    <t>読み込み速度の強化処理実装</t>
    <rPh sb="0" eb="1">
      <t>ヨ</t>
    </rPh>
    <rPh sb="2" eb="3">
      <t>コ</t>
    </rPh>
    <rPh sb="4" eb="6">
      <t>ソクド</t>
    </rPh>
    <rPh sb="7" eb="9">
      <t>キョウカ</t>
    </rPh>
    <rPh sb="9" eb="11">
      <t>ショリ</t>
    </rPh>
    <rPh sb="11" eb="13">
      <t>ジッソウ</t>
    </rPh>
    <phoneticPr fontId="26"/>
  </si>
  <si>
    <t>強化に必要なポイント設定</t>
    <rPh sb="0" eb="2">
      <t>キョウカ</t>
    </rPh>
    <rPh sb="3" eb="5">
      <t>ヒツヨウ</t>
    </rPh>
    <rPh sb="10" eb="12">
      <t>セッテイ</t>
    </rPh>
    <phoneticPr fontId="26"/>
  </si>
  <si>
    <t>ポイント不足時の購入制限</t>
    <rPh sb="4" eb="6">
      <t>ブソク</t>
    </rPh>
    <rPh sb="6" eb="7">
      <t>ジ</t>
    </rPh>
    <rPh sb="8" eb="12">
      <t>コウニュウセイゲン</t>
    </rPh>
    <phoneticPr fontId="26"/>
  </si>
  <si>
    <t>強化内容の保存処理</t>
    <rPh sb="0" eb="4">
      <t>キョウカナイヨウ</t>
    </rPh>
    <rPh sb="5" eb="9">
      <t>ホゾンショリ</t>
    </rPh>
    <phoneticPr fontId="26"/>
  </si>
  <si>
    <t>強化画面からゲームへの遷移実装</t>
    <rPh sb="0" eb="4">
      <t>キョウカガメン</t>
    </rPh>
    <rPh sb="11" eb="15">
      <t>センイジッソウ</t>
    </rPh>
    <phoneticPr fontId="26"/>
  </si>
  <si>
    <t>強化機能の動作テスト</t>
    <rPh sb="0" eb="2">
      <t>キョウカ</t>
    </rPh>
    <rPh sb="2" eb="4">
      <t>キノウ</t>
    </rPh>
    <rPh sb="5" eb="7">
      <t>ドウサ</t>
    </rPh>
    <phoneticPr fontId="26"/>
  </si>
  <si>
    <t>嘘情報・真情報のデータ追加</t>
    <rPh sb="0" eb="3">
      <t>ウソジョウホウ</t>
    </rPh>
    <rPh sb="4" eb="7">
      <t>シンジョウホウ</t>
    </rPh>
    <rPh sb="11" eb="13">
      <t>ツイカ</t>
    </rPh>
    <phoneticPr fontId="26"/>
  </si>
  <si>
    <t>情報レベル1の設定</t>
    <rPh sb="0" eb="2">
      <t>ジョウホウ</t>
    </rPh>
    <rPh sb="7" eb="9">
      <t>セッテイ</t>
    </rPh>
    <phoneticPr fontId="26"/>
  </si>
  <si>
    <t>情報レベル2の設定</t>
    <rPh sb="0" eb="2">
      <t>ジョウホウ</t>
    </rPh>
    <rPh sb="7" eb="9">
      <t>セッテイ</t>
    </rPh>
    <phoneticPr fontId="26"/>
  </si>
  <si>
    <t>情報レベル3の設定</t>
    <rPh sb="0" eb="2">
      <t>ジョウホウ</t>
    </rPh>
    <rPh sb="7" eb="9">
      <t>セッテイ</t>
    </rPh>
    <phoneticPr fontId="26"/>
  </si>
  <si>
    <t>チュートリアル画面作成</t>
    <rPh sb="7" eb="11">
      <t>ガメンサクセイ</t>
    </rPh>
    <phoneticPr fontId="26"/>
  </si>
  <si>
    <t>初回プレイ時の表示処理実装</t>
    <rPh sb="0" eb="2">
      <t>ショカイ</t>
    </rPh>
    <rPh sb="5" eb="6">
      <t>ジ</t>
    </rPh>
    <rPh sb="7" eb="13">
      <t>ヒョウジショリジッソウ</t>
    </rPh>
    <phoneticPr fontId="26"/>
  </si>
  <si>
    <t>チュートリアルのスキップ処理実装</t>
    <rPh sb="12" eb="16">
      <t>ショリジッソウ</t>
    </rPh>
    <phoneticPr fontId="26"/>
  </si>
  <si>
    <t>情報配置・出現数の調整</t>
    <rPh sb="0" eb="4">
      <t>ジョウホウハイチ</t>
    </rPh>
    <rPh sb="5" eb="8">
      <t>シュツゲンスウ</t>
    </rPh>
    <rPh sb="9" eb="11">
      <t>チョウセイ</t>
    </rPh>
    <phoneticPr fontId="26"/>
  </si>
  <si>
    <t>強化とスコアのバランス調整</t>
    <rPh sb="0" eb="2">
      <t>キョウカ</t>
    </rPh>
    <rPh sb="11" eb="13">
      <t>チョウセイ</t>
    </rPh>
    <phoneticPr fontId="26"/>
  </si>
  <si>
    <t>ゲーム開始からリザルトまでの通しテスト</t>
    <rPh sb="3" eb="5">
      <t>カイシ</t>
    </rPh>
    <rPh sb="14" eb="15">
      <t>トオ</t>
    </rPh>
    <phoneticPr fontId="26"/>
  </si>
  <si>
    <t>ベータ版の不具合修正</t>
    <rPh sb="3" eb="4">
      <t>バン</t>
    </rPh>
    <rPh sb="5" eb="10">
      <t>フグアイシュウセイ</t>
    </rPh>
    <phoneticPr fontId="26"/>
  </si>
  <si>
    <t>ベータ版提出データ作成・提出</t>
    <rPh sb="3" eb="4">
      <t>バン</t>
    </rPh>
    <rPh sb="4" eb="6">
      <t>テイシュツ</t>
    </rPh>
    <rPh sb="9" eb="11">
      <t>サクセイ</t>
    </rPh>
    <rPh sb="12" eb="14">
      <t>テイシュツ</t>
    </rPh>
    <phoneticPr fontId="26"/>
  </si>
  <si>
    <t>3D空間の見た目調整</t>
    <rPh sb="2" eb="4">
      <t>クウカン</t>
    </rPh>
    <rPh sb="5" eb="6">
      <t>ミ</t>
    </rPh>
    <rPh sb="7" eb="8">
      <t>メ</t>
    </rPh>
    <rPh sb="8" eb="10">
      <t>チョウセイ</t>
    </rPh>
    <phoneticPr fontId="26"/>
  </si>
  <si>
    <t>情報オブジェクトの見た目調整</t>
    <rPh sb="0" eb="2">
      <t>ジョウホウ</t>
    </rPh>
    <rPh sb="9" eb="10">
      <t>ミ</t>
    </rPh>
    <rPh sb="11" eb="14">
      <t>メチョウセイ</t>
    </rPh>
    <phoneticPr fontId="26"/>
  </si>
  <si>
    <t>UIデザインの統一</t>
    <rPh sb="7" eb="9">
      <t>トウイツ</t>
    </rPh>
    <phoneticPr fontId="26"/>
  </si>
  <si>
    <t>ボタン・文字サイズの調整</t>
    <rPh sb="4" eb="6">
      <t>モジ</t>
    </rPh>
    <rPh sb="10" eb="12">
      <t>チョウセイ</t>
    </rPh>
    <phoneticPr fontId="26"/>
  </si>
  <si>
    <t>情報読み込み演出の追加</t>
    <rPh sb="0" eb="3">
      <t>ジョウホウヨ</t>
    </rPh>
    <rPh sb="4" eb="5">
      <t>コ</t>
    </rPh>
    <rPh sb="6" eb="8">
      <t>エンシュツ</t>
    </rPh>
    <rPh sb="9" eb="11">
      <t>ツイカ</t>
    </rPh>
    <phoneticPr fontId="26"/>
  </si>
  <si>
    <t>判定結果演出の追加</t>
    <rPh sb="0" eb="6">
      <t>ハンテイケッカエンシュツ</t>
    </rPh>
    <rPh sb="7" eb="9">
      <t>ツイカ</t>
    </rPh>
    <phoneticPr fontId="26"/>
  </si>
  <si>
    <t>嘘情報削除時の効果音追加</t>
    <rPh sb="0" eb="6">
      <t>ウソジョウホウサクジョジ</t>
    </rPh>
    <rPh sb="7" eb="12">
      <t>コウカオンツイカ</t>
    </rPh>
    <phoneticPr fontId="26"/>
  </si>
  <si>
    <t>正誤判定時の効果音追加</t>
    <rPh sb="0" eb="5">
      <t>セイゴハンテイジ</t>
    </rPh>
    <rPh sb="6" eb="11">
      <t>コウカオンツイカ</t>
    </rPh>
    <phoneticPr fontId="26"/>
  </si>
  <si>
    <t>UI操作・決定音の追加</t>
    <rPh sb="2" eb="4">
      <t>ソウサ</t>
    </rPh>
    <rPh sb="5" eb="8">
      <t>ケッテイオン</t>
    </rPh>
    <rPh sb="9" eb="11">
      <t>ツイカ</t>
    </rPh>
    <phoneticPr fontId="26"/>
  </si>
  <si>
    <t>タイトル・ゲーム中BGMの追加</t>
    <rPh sb="8" eb="9">
      <t>チュウ</t>
    </rPh>
    <rPh sb="13" eb="15">
      <t>ツイカ</t>
    </rPh>
    <phoneticPr fontId="26"/>
  </si>
  <si>
    <t>ポーズ・強化・リザルトのBGM調整</t>
    <rPh sb="4" eb="6">
      <t>キョウカ</t>
    </rPh>
    <rPh sb="15" eb="17">
      <t>チョウセイ</t>
    </rPh>
    <phoneticPr fontId="26"/>
  </si>
  <si>
    <t>音量・SEの重なり調整</t>
    <rPh sb="0" eb="2">
      <t>オンリョウ</t>
    </rPh>
    <rPh sb="6" eb="7">
      <t>カサ</t>
    </rPh>
    <rPh sb="9" eb="11">
      <t>チョウセイ</t>
    </rPh>
    <phoneticPr fontId="26"/>
  </si>
  <si>
    <t>操作性・視点感度の調整</t>
    <rPh sb="0" eb="3">
      <t>ソウサセイ</t>
    </rPh>
    <rPh sb="4" eb="8">
      <t>シテンカンド</t>
    </rPh>
    <rPh sb="9" eb="11">
      <t>チョウセイ</t>
    </rPh>
    <phoneticPr fontId="26"/>
  </si>
  <si>
    <t>ゲーム全体の動作テスト</t>
    <rPh sb="3" eb="5">
      <t>ゼンタイ</t>
    </rPh>
    <rPh sb="6" eb="8">
      <t>ドウサ</t>
    </rPh>
    <phoneticPr fontId="26"/>
  </si>
  <si>
    <t>情報の真偽判定テスト</t>
    <rPh sb="0" eb="2">
      <t>ジョウホウ</t>
    </rPh>
    <rPh sb="3" eb="7">
      <t>シンギハンテイ</t>
    </rPh>
    <phoneticPr fontId="26"/>
  </si>
  <si>
    <t>スコア加算・減点テスト</t>
    <rPh sb="3" eb="5">
      <t>カサン</t>
    </rPh>
    <rPh sb="6" eb="8">
      <t>ゲンテン</t>
    </rPh>
    <phoneticPr fontId="26"/>
  </si>
  <si>
    <t>制限時間・ポーズのテスト</t>
    <rPh sb="0" eb="4">
      <t>セイゲンジカン</t>
    </rPh>
    <phoneticPr fontId="26"/>
  </si>
  <si>
    <t>強化内容の保存・反映テスト</t>
    <rPh sb="0" eb="4">
      <t>キョウカナイヨウ</t>
    </rPh>
    <rPh sb="5" eb="7">
      <t>ホゾン</t>
    </rPh>
    <rPh sb="8" eb="10">
      <t>ハンエイ</t>
    </rPh>
    <phoneticPr fontId="26"/>
  </si>
  <si>
    <t>画面遷移・リトライのテスト</t>
    <rPh sb="0" eb="4">
      <t>ガメンセンイ</t>
    </rPh>
    <phoneticPr fontId="26"/>
  </si>
  <si>
    <t>難易度・得点バランスの最終調整</t>
    <rPh sb="0" eb="3">
      <t>ナンイド</t>
    </rPh>
    <rPh sb="4" eb="6">
      <t>トクテン</t>
    </rPh>
    <rPh sb="11" eb="15">
      <t>サイシュウチョウセイ</t>
    </rPh>
    <phoneticPr fontId="26"/>
  </si>
  <si>
    <t>最終テストを経ての不具合修正</t>
    <rPh sb="0" eb="2">
      <t>サイシュウ</t>
    </rPh>
    <rPh sb="6" eb="7">
      <t>ヘ</t>
    </rPh>
    <rPh sb="9" eb="14">
      <t>フグアイシュウセイ</t>
    </rPh>
    <phoneticPr fontId="26"/>
  </si>
  <si>
    <t>不要なオブジェクト・ファイルの調整</t>
    <rPh sb="0" eb="2">
      <t>フヨウ</t>
    </rPh>
    <rPh sb="15" eb="17">
      <t>チョウセイ</t>
    </rPh>
    <phoneticPr fontId="26"/>
  </si>
  <si>
    <t>ビルド設定・提出環境の確認</t>
    <rPh sb="3" eb="5">
      <t>セッテイ</t>
    </rPh>
    <rPh sb="6" eb="10">
      <t>テイシュツカンキョウ</t>
    </rPh>
    <rPh sb="11" eb="13">
      <t>カクニン</t>
    </rPh>
    <phoneticPr fontId="26"/>
  </si>
  <si>
    <t>リリース版ビルド作成</t>
    <rPh sb="4" eb="5">
      <t>バン</t>
    </rPh>
    <rPh sb="8" eb="10">
      <t>サクセイ</t>
    </rPh>
    <phoneticPr fontId="26"/>
  </si>
  <si>
    <t>リリース版の最終動作確認</t>
    <rPh sb="4" eb="5">
      <t>バン</t>
    </rPh>
    <rPh sb="6" eb="12">
      <t>サイシュウドウサカクニン</t>
    </rPh>
    <phoneticPr fontId="26"/>
  </si>
  <si>
    <t>提出用データ・説明資料の整理</t>
    <rPh sb="0" eb="3">
      <t>テイシュツヨウ</t>
    </rPh>
    <rPh sb="7" eb="11">
      <t>セツメイシリョウ</t>
    </rPh>
    <rPh sb="12" eb="14">
      <t>セイリ</t>
    </rPh>
    <phoneticPr fontId="26"/>
  </si>
  <si>
    <t>リリース版提出</t>
    <rPh sb="4" eb="7">
      <t>バンテイシュツ</t>
    </rPh>
    <phoneticPr fontId="2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</si>
</sst>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38"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b/>
      <sz val="11"/>
      <color theme="1"/>
      <name val="Meiryo UI"/>
      <family val="3"/>
      <charset val="128"/>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3" borderId="0" applyNumberFormat="0" applyBorder="0" applyAlignment="0" applyProtection="0"/>
    <xf numFmtId="0" fontId="3" fillId="14" borderId="0" applyNumberFormat="0" applyBorder="0" applyAlignment="0" applyProtection="0"/>
    <xf numFmtId="0" fontId="14" fillId="15" borderId="0" applyNumberFormat="0" applyBorder="0" applyAlignment="0" applyProtection="0"/>
    <xf numFmtId="0" fontId="12" fillId="16" borderId="11" applyNumberFormat="0" applyAlignment="0" applyProtection="0"/>
    <xf numFmtId="0" fontId="15" fillId="17" borderId="12" applyNumberFormat="0" applyAlignment="0" applyProtection="0"/>
    <xf numFmtId="0" fontId="4" fillId="17" borderId="11" applyNumberFormat="0" applyAlignment="0" applyProtection="0"/>
    <xf numFmtId="0" fontId="13" fillId="0" borderId="13" applyNumberFormat="0" applyFill="0" applyAlignment="0" applyProtection="0"/>
    <xf numFmtId="0" fontId="5" fillId="18" borderId="14" applyNumberFormat="0" applyAlignment="0" applyProtection="0"/>
    <xf numFmtId="0" fontId="18" fillId="0" borderId="0" applyNumberFormat="0" applyFill="0" applyBorder="0" applyAlignment="0" applyProtection="0"/>
    <xf numFmtId="0" fontId="1" fillId="19"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cellStyleXfs>
  <cellXfs count="130">
    <xf numFmtId="0" fontId="0" fillId="0" borderId="0" xfId="0"/>
    <xf numFmtId="0" fontId="0" fillId="0" borderId="0" xfId="0" applyAlignment="1">
      <alignment vertical="center"/>
    </xf>
    <xf numFmtId="0" fontId="0" fillId="0" borderId="0" xfId="0" applyAlignment="1">
      <alignment horizont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7">
      <alignment vertical="top"/>
    </xf>
    <xf numFmtId="0" fontId="1" fillId="7" borderId="2" xfId="11" applyFill="1">
      <alignment horizontal="center" vertical="center"/>
    </xf>
    <xf numFmtId="0" fontId="1" fillId="2" borderId="2" xfId="11" applyFill="1">
      <alignment horizontal="center" vertical="center"/>
    </xf>
    <xf numFmtId="0" fontId="1" fillId="8" borderId="2" xfId="11" applyFill="1">
      <alignment horizontal="center" vertical="center"/>
    </xf>
    <xf numFmtId="0" fontId="1" fillId="3"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4" borderId="2" xfId="11" applyFill="1">
      <alignment horizontal="center" vertical="center"/>
    </xf>
    <xf numFmtId="0" fontId="1" fillId="9" borderId="2" xfId="11" applyFill="1">
      <alignment horizontal="center" vertical="center"/>
    </xf>
    <xf numFmtId="0" fontId="1" fillId="2" borderId="2" xfId="12" applyFill="1">
      <alignment horizontal="left" vertical="center" indent="2"/>
    </xf>
    <xf numFmtId="0" fontId="1" fillId="3" borderId="2" xfId="12" applyFill="1">
      <alignment horizontal="left" vertical="center" indent="2"/>
    </xf>
    <xf numFmtId="0" fontId="1" fillId="10" borderId="2" xfId="12" applyFill="1">
      <alignment horizontal="left" vertical="center" indent="2"/>
    </xf>
    <xf numFmtId="0" fontId="1" fillId="9" borderId="2" xfId="12" applyFill="1">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2" borderId="1" xfId="0" applyFont="1" applyFill="1" applyBorder="1" applyAlignment="1">
      <alignment horizontal="left" vertical="center" indent="1"/>
    </xf>
    <xf numFmtId="0" fontId="23" fillId="12" borderId="1" xfId="0" applyFont="1" applyFill="1" applyBorder="1" applyAlignment="1">
      <alignment horizontal="center" vertical="center" wrapText="1"/>
    </xf>
    <xf numFmtId="0" fontId="24" fillId="11" borderId="8" xfId="0" applyFont="1" applyFill="1" applyBorder="1" applyAlignment="1">
      <alignment horizontal="center" vertical="center" shrinkToFit="1"/>
    </xf>
    <xf numFmtId="0" fontId="17" fillId="7" borderId="2" xfId="0" applyFont="1" applyFill="1" applyBorder="1" applyAlignment="1">
      <alignment horizontal="left" vertical="center" indent="1"/>
    </xf>
    <xf numFmtId="9" fontId="25" fillId="7" borderId="2" xfId="2" applyFont="1" applyFill="1" applyBorder="1" applyAlignment="1">
      <alignment horizontal="center" vertical="center"/>
    </xf>
    <xf numFmtId="0" fontId="25" fillId="0" borderId="2" xfId="0" applyFont="1" applyBorder="1" applyAlignment="1">
      <alignment horizontal="center" vertical="center"/>
    </xf>
    <xf numFmtId="9" fontId="25" fillId="2" borderId="2" xfId="2" applyFont="1" applyFill="1" applyBorder="1" applyAlignment="1">
      <alignment horizontal="center" vertical="center"/>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9" fontId="25" fillId="3"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0" fontId="17" fillId="4" borderId="2" xfId="0" applyFont="1" applyFill="1" applyBorder="1" applyAlignment="1">
      <alignment horizontal="left" vertical="center" indent="1"/>
    </xf>
    <xf numFmtId="9" fontId="25" fillId="4" borderId="2" xfId="2" applyFont="1" applyFill="1" applyBorder="1" applyAlignment="1">
      <alignment horizontal="center" vertical="center"/>
    </xf>
    <xf numFmtId="9" fontId="25" fillId="9" borderId="2" xfId="2" applyFont="1" applyFill="1" applyBorder="1" applyAlignment="1">
      <alignment horizontal="center" vertical="center"/>
    </xf>
    <xf numFmtId="0" fontId="27" fillId="0" borderId="0" xfId="0" applyFont="1" applyAlignment="1">
      <alignment vertical="top"/>
    </xf>
    <xf numFmtId="0" fontId="27" fillId="0" borderId="0" xfId="0" applyFont="1"/>
    <xf numFmtId="0" fontId="28" fillId="0" borderId="0" xfId="0" applyFont="1" applyAlignment="1">
      <alignment horizontal="left" vertical="center"/>
    </xf>
    <xf numFmtId="0" fontId="29" fillId="0" borderId="0" xfId="0" applyFont="1" applyAlignment="1">
      <alignment horizontal="left" vertical="center"/>
    </xf>
    <xf numFmtId="0" fontId="30" fillId="0" borderId="0" xfId="0" applyFont="1" applyAlignment="1">
      <alignment vertical="top"/>
    </xf>
    <xf numFmtId="0" fontId="31" fillId="0" borderId="0" xfId="0" applyFont="1" applyAlignment="1">
      <alignment vertical="top"/>
    </xf>
    <xf numFmtId="0" fontId="27" fillId="0" borderId="0" xfId="0" applyFont="1" applyAlignment="1">
      <alignment horizontal="left" vertical="top"/>
    </xf>
    <xf numFmtId="0" fontId="32" fillId="0" borderId="0" xfId="0" applyFont="1" applyAlignment="1">
      <alignment vertical="center"/>
    </xf>
    <xf numFmtId="0" fontId="33" fillId="0" borderId="0" xfId="0" applyFont="1"/>
    <xf numFmtId="0" fontId="34" fillId="0" borderId="0" xfId="0" applyFont="1" applyAlignment="1">
      <alignment horizontal="left" vertical="top" wrapText="1" indent="1"/>
    </xf>
    <xf numFmtId="0" fontId="35" fillId="0" borderId="0" xfId="0" applyFont="1" applyAlignment="1">
      <alignment vertical="top" wrapText="1"/>
    </xf>
    <xf numFmtId="0" fontId="36" fillId="0" borderId="0" xfId="1" applyFont="1" applyAlignment="1" applyProtection="1">
      <alignment horizontal="left" vertical="top"/>
    </xf>
    <xf numFmtId="178" fontId="0" fillId="7" borderId="2" xfId="0" applyNumberFormat="1" applyFill="1" applyBorder="1" applyAlignment="1">
      <alignment horizontal="center" vertical="center"/>
    </xf>
    <xf numFmtId="178" fontId="25" fillId="7" borderId="2" xfId="0" applyNumberFormat="1" applyFont="1" applyFill="1" applyBorder="1" applyAlignment="1">
      <alignment horizontal="center" vertical="center"/>
    </xf>
    <xf numFmtId="178" fontId="1" fillId="2" borderId="2" xfId="10" applyNumberFormat="1" applyFill="1">
      <alignment horizontal="center" vertical="center"/>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3" borderId="2" xfId="10" applyNumberFormat="1" applyFill="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10" borderId="2" xfId="10" applyNumberFormat="1" applyFill="1">
      <alignment horizontal="center" vertical="center"/>
    </xf>
    <xf numFmtId="178" fontId="0" fillId="4" borderId="2" xfId="0" applyNumberFormat="1" applyFill="1" applyBorder="1" applyAlignment="1">
      <alignment horizontal="center" vertical="center"/>
    </xf>
    <xf numFmtId="178" fontId="25" fillId="4" borderId="2" xfId="0" applyNumberFormat="1" applyFont="1" applyFill="1" applyBorder="1" applyAlignment="1">
      <alignment horizontal="center" vertical="center"/>
    </xf>
    <xf numFmtId="178" fontId="1" fillId="9" borderId="2" xfId="10" applyNumberFormat="1" applyFill="1">
      <alignment horizontal="center" vertical="center"/>
    </xf>
    <xf numFmtId="180" fontId="22" fillId="6" borderId="6" xfId="0" applyNumberFormat="1" applyFont="1" applyFill="1" applyBorder="1" applyAlignment="1">
      <alignment horizontal="center" vertical="center"/>
    </xf>
    <xf numFmtId="180" fontId="22" fillId="6" borderId="0" xfId="0" applyNumberFormat="1" applyFont="1" applyFill="1" applyAlignment="1">
      <alignment horizontal="center" vertical="center"/>
    </xf>
    <xf numFmtId="180" fontId="22" fillId="6" borderId="7" xfId="0" applyNumberFormat="1" applyFont="1" applyFill="1" applyBorder="1" applyAlignment="1">
      <alignment horizontal="center" vertical="center"/>
    </xf>
    <xf numFmtId="0" fontId="1" fillId="38" borderId="2" xfId="48" applyBorder="1" applyAlignment="1">
      <alignment horizontal="center" vertical="center"/>
    </xf>
    <xf numFmtId="9" fontId="1" fillId="38" borderId="2" xfId="48" applyNumberFormat="1" applyBorder="1" applyAlignment="1">
      <alignment horizontal="center" vertical="center"/>
    </xf>
    <xf numFmtId="178" fontId="1" fillId="38" borderId="2" xfId="48" applyNumberFormat="1" applyBorder="1" applyAlignment="1">
      <alignment horizontal="center" vertical="center"/>
    </xf>
    <xf numFmtId="0" fontId="1" fillId="37" borderId="2" xfId="47" applyBorder="1" applyAlignment="1">
      <alignment horizontal="left" vertical="center" indent="2"/>
    </xf>
    <xf numFmtId="0" fontId="1" fillId="37" borderId="2" xfId="47" applyBorder="1" applyAlignment="1">
      <alignment horizontal="center" vertical="center"/>
    </xf>
    <xf numFmtId="9" fontId="1" fillId="37" borderId="2" xfId="47" applyNumberFormat="1" applyBorder="1" applyAlignment="1">
      <alignment horizontal="center" vertical="center"/>
    </xf>
    <xf numFmtId="178" fontId="1" fillId="37" borderId="2" xfId="47" applyNumberFormat="1" applyBorder="1" applyAlignment="1">
      <alignment horizontal="center" vertical="center"/>
    </xf>
    <xf numFmtId="0" fontId="1" fillId="42" borderId="2" xfId="52" applyBorder="1" applyAlignment="1">
      <alignment horizontal="center" vertical="center"/>
    </xf>
    <xf numFmtId="9" fontId="1" fillId="42" borderId="2" xfId="52" applyNumberFormat="1" applyBorder="1" applyAlignment="1">
      <alignment horizontal="center" vertical="center"/>
    </xf>
    <xf numFmtId="178" fontId="1" fillId="42" borderId="2" xfId="52" applyNumberFormat="1" applyBorder="1" applyAlignment="1">
      <alignment horizontal="center" vertical="center"/>
    </xf>
    <xf numFmtId="0" fontId="1" fillId="41" borderId="2" xfId="51" applyBorder="1" applyAlignment="1">
      <alignment horizontal="left" vertical="center" indent="2"/>
    </xf>
    <xf numFmtId="0" fontId="1" fillId="41" borderId="2" xfId="51" applyBorder="1" applyAlignment="1">
      <alignment horizontal="center" vertical="center"/>
    </xf>
    <xf numFmtId="9" fontId="1" fillId="41" borderId="2" xfId="51" applyNumberFormat="1" applyBorder="1" applyAlignment="1">
      <alignment horizontal="center" vertical="center"/>
    </xf>
    <xf numFmtId="178" fontId="1" fillId="41" borderId="2" xfId="51" applyNumberFormat="1" applyBorder="1" applyAlignment="1">
      <alignment horizontal="center" vertical="center"/>
    </xf>
    <xf numFmtId="0" fontId="1" fillId="23" borderId="2" xfId="33" applyBorder="1" applyAlignment="1">
      <alignment horizontal="center" vertical="center"/>
    </xf>
    <xf numFmtId="9" fontId="1" fillId="23" borderId="2" xfId="33" applyNumberFormat="1" applyBorder="1" applyAlignment="1">
      <alignment horizontal="center" vertical="center"/>
    </xf>
    <xf numFmtId="178" fontId="1" fillId="23" borderId="2" xfId="33" applyNumberFormat="1" applyBorder="1" applyAlignment="1">
      <alignment horizontal="center" vertical="center"/>
    </xf>
    <xf numFmtId="0" fontId="37" fillId="38" borderId="2" xfId="48" applyFont="1" applyBorder="1" applyAlignment="1">
      <alignment horizontal="left" vertical="center" indent="1"/>
    </xf>
    <xf numFmtId="0" fontId="37" fillId="42" borderId="2" xfId="52" applyFont="1" applyBorder="1" applyAlignment="1">
      <alignment horizontal="left" vertical="center" indent="1"/>
    </xf>
    <xf numFmtId="0" fontId="1" fillId="22" borderId="2" xfId="32" applyBorder="1" applyAlignment="1">
      <alignment horizontal="left" vertical="center" indent="2"/>
    </xf>
    <xf numFmtId="0" fontId="1" fillId="22" borderId="2" xfId="32" applyBorder="1" applyAlignment="1">
      <alignment horizontal="center" vertical="center"/>
    </xf>
    <xf numFmtId="9" fontId="1" fillId="22" borderId="2" xfId="32" applyNumberFormat="1" applyBorder="1" applyAlignment="1">
      <alignment horizontal="center" vertical="center"/>
    </xf>
    <xf numFmtId="178" fontId="1" fillId="22" borderId="2" xfId="32" applyNumberFormat="1" applyBorder="1" applyAlignment="1">
      <alignment horizontal="center" vertical="center"/>
    </xf>
    <xf numFmtId="0" fontId="37" fillId="23" borderId="2" xfId="33" applyFont="1" applyBorder="1" applyAlignment="1">
      <alignment horizontal="left" vertical="center" indent="1"/>
    </xf>
    <xf numFmtId="0" fontId="1" fillId="27" borderId="2" xfId="37" applyBorder="1" applyAlignment="1">
      <alignment horizontal="center" vertical="center"/>
    </xf>
    <xf numFmtId="9" fontId="1" fillId="27" borderId="2" xfId="37" applyNumberFormat="1" applyBorder="1" applyAlignment="1">
      <alignment horizontal="center" vertical="center"/>
    </xf>
    <xf numFmtId="178" fontId="1" fillId="27" borderId="2" xfId="37" applyNumberFormat="1" applyBorder="1" applyAlignment="1">
      <alignment horizontal="center" vertical="center"/>
    </xf>
    <xf numFmtId="0" fontId="1" fillId="26" borderId="2" xfId="36" applyBorder="1" applyAlignment="1">
      <alignment horizontal="left" vertical="center" indent="2"/>
    </xf>
    <xf numFmtId="0" fontId="1" fillId="26" borderId="2" xfId="36" applyBorder="1" applyAlignment="1">
      <alignment horizontal="center" vertical="center"/>
    </xf>
    <xf numFmtId="9" fontId="1" fillId="26" borderId="2" xfId="36" applyNumberFormat="1" applyBorder="1" applyAlignment="1">
      <alignment horizontal="center" vertical="center"/>
    </xf>
    <xf numFmtId="178" fontId="1" fillId="26" borderId="2" xfId="36" applyNumberFormat="1" applyBorder="1" applyAlignment="1">
      <alignment horizontal="center" vertical="center"/>
    </xf>
    <xf numFmtId="0" fontId="1" fillId="31" borderId="2" xfId="41" applyBorder="1" applyAlignment="1">
      <alignment horizontal="center" vertical="center"/>
    </xf>
    <xf numFmtId="9" fontId="1" fillId="31" borderId="2" xfId="41" applyNumberFormat="1" applyBorder="1" applyAlignment="1">
      <alignment horizontal="center" vertical="center"/>
    </xf>
    <xf numFmtId="178" fontId="1" fillId="31" borderId="2" xfId="41" applyNumberFormat="1" applyBorder="1" applyAlignment="1">
      <alignment horizontal="center" vertical="center"/>
    </xf>
    <xf numFmtId="0" fontId="1" fillId="30" borderId="2" xfId="40" applyBorder="1" applyAlignment="1">
      <alignment horizontal="left" vertical="center" indent="2"/>
    </xf>
    <xf numFmtId="0" fontId="1" fillId="30" borderId="2" xfId="40" applyBorder="1" applyAlignment="1">
      <alignment horizontal="center" vertical="center"/>
    </xf>
    <xf numFmtId="9" fontId="1" fillId="30" borderId="2" xfId="40" applyNumberFormat="1" applyBorder="1" applyAlignment="1">
      <alignment horizontal="center" vertical="center"/>
    </xf>
    <xf numFmtId="178" fontId="1" fillId="30" borderId="2" xfId="40" applyNumberFormat="1" applyBorder="1" applyAlignment="1">
      <alignment horizontal="center" vertical="center"/>
    </xf>
    <xf numFmtId="0" fontId="37" fillId="31" borderId="2" xfId="41" applyFont="1" applyBorder="1" applyAlignment="1">
      <alignment horizontal="left" vertical="center" indent="1"/>
    </xf>
    <xf numFmtId="0" fontId="37" fillId="27" borderId="2" xfId="37" applyFont="1" applyBorder="1" applyAlignment="1">
      <alignment horizontal="left" vertical="center" indent="1"/>
    </xf>
    <xf numFmtId="0" fontId="1" fillId="35" borderId="2" xfId="45" applyBorder="1" applyAlignment="1">
      <alignment horizontal="center" vertical="center"/>
    </xf>
    <xf numFmtId="9" fontId="1" fillId="35" borderId="2" xfId="45" applyNumberFormat="1" applyBorder="1" applyAlignment="1">
      <alignment horizontal="center" vertical="center"/>
    </xf>
    <xf numFmtId="178" fontId="1" fillId="35" borderId="2" xfId="45" applyNumberFormat="1" applyBorder="1" applyAlignment="1">
      <alignment horizontal="center" vertical="center"/>
    </xf>
    <xf numFmtId="0" fontId="1" fillId="34" borderId="2" xfId="44" applyBorder="1" applyAlignment="1">
      <alignment horizontal="left" vertical="center" indent="2"/>
    </xf>
    <xf numFmtId="0" fontId="1" fillId="34" borderId="2" xfId="44" applyBorder="1" applyAlignment="1">
      <alignment horizontal="center" vertical="center"/>
    </xf>
    <xf numFmtId="9" fontId="1" fillId="34" borderId="2" xfId="44" applyNumberFormat="1" applyBorder="1" applyAlignment="1">
      <alignment horizontal="center" vertical="center"/>
    </xf>
    <xf numFmtId="178" fontId="1" fillId="34" borderId="2" xfId="44" applyNumberFormat="1" applyBorder="1" applyAlignment="1">
      <alignment horizontal="center" vertical="center"/>
    </xf>
    <xf numFmtId="0" fontId="37" fillId="35" borderId="2" xfId="45" applyFont="1" applyBorder="1" applyAlignment="1">
      <alignment horizontal="left" vertical="center" indent="1"/>
    </xf>
    <xf numFmtId="0" fontId="2" fillId="24" borderId="8" xfId="34" applyBorder="1" applyAlignment="1">
      <alignment horizontal="center" vertical="center" shrinkToFit="1"/>
    </xf>
    <xf numFmtId="0" fontId="2" fillId="24" borderId="9" xfId="34" applyBorder="1" applyAlignment="1">
      <alignment vertical="center"/>
    </xf>
    <xf numFmtId="0" fontId="9" fillId="0" borderId="0" xfId="6" applyAlignment="1">
      <alignment horizontal="left"/>
    </xf>
    <xf numFmtId="14" fontId="0" fillId="6" borderId="4" xfId="0" applyNumberFormat="1" applyFill="1" applyBorder="1" applyAlignment="1">
      <alignment horizontal="left" vertical="center" wrapText="1" indent="1"/>
    </xf>
    <xf numFmtId="14" fontId="0" fillId="6" borderId="1" xfId="0" applyNumberFormat="1" applyFill="1" applyBorder="1" applyAlignment="1">
      <alignment horizontal="left" vertical="center" wrapText="1" indent="1"/>
    </xf>
    <xf numFmtId="14" fontId="0" fillId="6" borderId="5" xfId="0" applyNumberFormat="1" applyFill="1" applyBorder="1" applyAlignment="1">
      <alignment horizontal="left" vertical="center" wrapText="1" indent="1"/>
    </xf>
    <xf numFmtId="179" fontId="1" fillId="0" borderId="3" xfId="9" applyNumberFormat="1">
      <alignment horizontal="center" vertical="center"/>
    </xf>
    <xf numFmtId="0" fontId="1" fillId="0" borderId="0" xfId="8">
      <alignment horizontal="right" indent="1"/>
    </xf>
    <xf numFmtId="0" fontId="1" fillId="0" borderId="7" xfId="8" applyBorder="1">
      <alignment horizontal="right" indent="1"/>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324">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323"/>
      <tableStyleElement type="headerRow" dxfId="322"/>
      <tableStyleElement type="totalRow" dxfId="321"/>
      <tableStyleElement type="firstColumn" dxfId="320"/>
      <tableStyleElement type="lastColumn" dxfId="319"/>
      <tableStyleElement type="firstRowStripe" dxfId="318"/>
      <tableStyleElement type="secondRowStripe" dxfId="317"/>
      <tableStyleElement type="firstColumnStripe" dxfId="316"/>
      <tableStyleElement type="secondColumnStripe" dxfId="3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9</xdr:col>
      <xdr:colOff>45721</xdr:colOff>
      <xdr:row>10</xdr:row>
      <xdr:rowOff>167641</xdr:rowOff>
    </xdr:from>
    <xdr:to>
      <xdr:col>11</xdr:col>
      <xdr:colOff>112394</xdr:colOff>
      <xdr:row>16</xdr:row>
      <xdr:rowOff>15241</xdr:rowOff>
    </xdr:to>
    <xdr:cxnSp macro="">
      <xdr:nvCxnSpPr>
        <xdr:cNvPr id="5" name="コネクタ: カギ線 4">
          <a:extLst>
            <a:ext uri="{FF2B5EF4-FFF2-40B4-BE49-F238E27FC236}">
              <a16:creationId xmlns:a16="http://schemas.microsoft.com/office/drawing/2014/main" id="{9C2A3C2B-7A01-40C2-BCF9-076C8E75805D}"/>
            </a:ext>
          </a:extLst>
        </xdr:cNvPr>
        <xdr:cNvCxnSpPr/>
      </xdr:nvCxnSpPr>
      <xdr:spPr>
        <a:xfrm rot="16200000" flipH="1">
          <a:off x="7820978" y="4233864"/>
          <a:ext cx="2133600" cy="493393"/>
        </a:xfrm>
        <a:prstGeom prst="bentConnector3">
          <a:avLst>
            <a:gd name="adj1" fmla="val 1339"/>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30483</xdr:colOff>
      <xdr:row>19</xdr:row>
      <xdr:rowOff>213363</xdr:rowOff>
    </xdr:from>
    <xdr:to>
      <xdr:col>18</xdr:col>
      <xdr:colOff>112395</xdr:colOff>
      <xdr:row>30</xdr:row>
      <xdr:rowOff>1</xdr:rowOff>
    </xdr:to>
    <xdr:cxnSp macro="">
      <xdr:nvCxnSpPr>
        <xdr:cNvPr id="6" name="コネクタ: カギ線 5">
          <a:extLst>
            <a:ext uri="{FF2B5EF4-FFF2-40B4-BE49-F238E27FC236}">
              <a16:creationId xmlns:a16="http://schemas.microsoft.com/office/drawing/2014/main" id="{AC3BEAB1-161F-4F71-901B-9E09113537ED}"/>
            </a:ext>
          </a:extLst>
        </xdr:cNvPr>
        <xdr:cNvCxnSpPr/>
      </xdr:nvCxnSpPr>
      <xdr:spPr>
        <a:xfrm rot="16200000" flipH="1">
          <a:off x="8064820" y="8302946"/>
          <a:ext cx="3977638" cy="1148712"/>
        </a:xfrm>
        <a:prstGeom prst="bentConnector3">
          <a:avLst>
            <a:gd name="adj1" fmla="val -192"/>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15240</xdr:colOff>
      <xdr:row>35</xdr:row>
      <xdr:rowOff>121920</xdr:rowOff>
    </xdr:from>
    <xdr:to>
      <xdr:col>22</xdr:col>
      <xdr:colOff>30480</xdr:colOff>
      <xdr:row>36</xdr:row>
      <xdr:rowOff>45720</xdr:rowOff>
    </xdr:to>
    <xdr:cxnSp macro="">
      <xdr:nvCxnSpPr>
        <xdr:cNvPr id="14" name="コネクタ: カギ線 13">
          <a:extLst>
            <a:ext uri="{FF2B5EF4-FFF2-40B4-BE49-F238E27FC236}">
              <a16:creationId xmlns:a16="http://schemas.microsoft.com/office/drawing/2014/main" id="{74A5E617-A5B6-453C-92EB-3D7A05D89203}"/>
            </a:ext>
          </a:extLst>
        </xdr:cNvPr>
        <xdr:cNvCxnSpPr/>
      </xdr:nvCxnSpPr>
      <xdr:spPr>
        <a:xfrm>
          <a:off x="10957560" y="12893040"/>
          <a:ext cx="441960" cy="304800"/>
        </a:xfrm>
        <a:prstGeom prst="bentConnector3">
          <a:avLst>
            <a:gd name="adj1" fmla="val 98276"/>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45721</xdr:colOff>
      <xdr:row>13</xdr:row>
      <xdr:rowOff>213360</xdr:rowOff>
    </xdr:from>
    <xdr:to>
      <xdr:col>24</xdr:col>
      <xdr:colOff>106681</xdr:colOff>
      <xdr:row>43</xdr:row>
      <xdr:rowOff>45719</xdr:rowOff>
    </xdr:to>
    <xdr:cxnSp macro="">
      <xdr:nvCxnSpPr>
        <xdr:cNvPr id="27" name="コネクタ: カギ線 26">
          <a:extLst>
            <a:ext uri="{FF2B5EF4-FFF2-40B4-BE49-F238E27FC236}">
              <a16:creationId xmlns:a16="http://schemas.microsoft.com/office/drawing/2014/main" id="{905797CE-17C3-46A3-BDF4-18A7B6345A88}"/>
            </a:ext>
          </a:extLst>
        </xdr:cNvPr>
        <xdr:cNvCxnSpPr/>
      </xdr:nvCxnSpPr>
      <xdr:spPr>
        <a:xfrm rot="16200000" flipH="1">
          <a:off x="4853941" y="8816340"/>
          <a:ext cx="11262359" cy="2834640"/>
        </a:xfrm>
        <a:prstGeom prst="bentConnector3">
          <a:avLst>
            <a:gd name="adj1" fmla="val -203"/>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111</xdr:col>
      <xdr:colOff>0</xdr:colOff>
      <xdr:row>125</xdr:row>
      <xdr:rowOff>121920</xdr:rowOff>
    </xdr:from>
    <xdr:to>
      <xdr:col>115</xdr:col>
      <xdr:colOff>30480</xdr:colOff>
      <xdr:row>126</xdr:row>
      <xdr:rowOff>15240</xdr:rowOff>
    </xdr:to>
    <xdr:cxnSp macro="">
      <xdr:nvCxnSpPr>
        <xdr:cNvPr id="33" name="コネクタ: カギ線 32">
          <a:extLst>
            <a:ext uri="{FF2B5EF4-FFF2-40B4-BE49-F238E27FC236}">
              <a16:creationId xmlns:a16="http://schemas.microsoft.com/office/drawing/2014/main" id="{B90534C9-B63B-48E1-8F23-4DBB141A3744}"/>
            </a:ext>
          </a:extLst>
        </xdr:cNvPr>
        <xdr:cNvCxnSpPr/>
      </xdr:nvCxnSpPr>
      <xdr:spPr>
        <a:xfrm>
          <a:off x="30358080" y="47183040"/>
          <a:ext cx="883920" cy="274320"/>
        </a:xfrm>
        <a:prstGeom prst="bentConnector3">
          <a:avLst>
            <a:gd name="adj1" fmla="val 100000"/>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45719</xdr:colOff>
      <xdr:row>48</xdr:row>
      <xdr:rowOff>137160</xdr:rowOff>
    </xdr:from>
    <xdr:to>
      <xdr:col>52</xdr:col>
      <xdr:colOff>121922</xdr:colOff>
      <xdr:row>90</xdr:row>
      <xdr:rowOff>45720</xdr:rowOff>
    </xdr:to>
    <xdr:cxnSp macro="">
      <xdr:nvCxnSpPr>
        <xdr:cNvPr id="46" name="コネクタ: カギ線 45">
          <a:extLst>
            <a:ext uri="{FF2B5EF4-FFF2-40B4-BE49-F238E27FC236}">
              <a16:creationId xmlns:a16="http://schemas.microsoft.com/office/drawing/2014/main" id="{21F9C734-7DE1-451C-B75A-1E0C183B7EF0}"/>
            </a:ext>
          </a:extLst>
        </xdr:cNvPr>
        <xdr:cNvCxnSpPr/>
      </xdr:nvCxnSpPr>
      <xdr:spPr>
        <a:xfrm rot="16200000" flipH="1">
          <a:off x="7124701" y="23004778"/>
          <a:ext cx="15910560" cy="5623563"/>
        </a:xfrm>
        <a:prstGeom prst="bentConnector3">
          <a:avLst>
            <a:gd name="adj1" fmla="val 192"/>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N131"/>
  <sheetViews>
    <sheetView showGridLines="0" tabSelected="1" showRuler="0" zoomScale="50" zoomScaleNormal="50" zoomScalePageLayoutView="70" workbookViewId="0">
      <pane ySplit="6" topLeftCell="A7" activePane="bottomLeft" state="frozen"/>
      <selection pane="bottomLeft" activeCell="D25" sqref="D25"/>
    </sheetView>
  </sheetViews>
  <sheetFormatPr defaultRowHeight="30" customHeight="1" x14ac:dyDescent="0.3"/>
  <cols>
    <col min="1" max="1" width="2.54296875" style="6" customWidth="1"/>
    <col min="2" max="2" width="31.81640625" customWidth="1"/>
    <col min="3" max="3" width="30.54296875" customWidth="1"/>
    <col min="4" max="4" width="10.54296875" customWidth="1"/>
    <col min="5" max="5" width="10.1796875" style="2" customWidth="1"/>
    <col min="6" max="6" width="10.1796875" customWidth="1"/>
    <col min="7" max="7" width="0.90625" customWidth="1"/>
    <col min="8" max="8" width="3.26953125" customWidth="1"/>
    <col min="9" max="118" width="2.453125" customWidth="1"/>
  </cols>
  <sheetData>
    <row r="1" spans="1:118" ht="30" customHeight="1" x14ac:dyDescent="0.55000000000000004">
      <c r="A1" s="7" t="s">
        <v>0</v>
      </c>
      <c r="B1" s="9" t="s">
        <v>35</v>
      </c>
      <c r="C1" s="24"/>
      <c r="D1" s="25"/>
      <c r="E1" s="26"/>
      <c r="F1" s="27"/>
      <c r="H1" s="25"/>
      <c r="I1" s="28" t="s">
        <v>19</v>
      </c>
    </row>
    <row r="2" spans="1:118" ht="30" customHeight="1" x14ac:dyDescent="0.35">
      <c r="A2" s="6" t="s">
        <v>1</v>
      </c>
      <c r="B2" s="123" t="s">
        <v>36</v>
      </c>
      <c r="C2" s="123"/>
      <c r="I2" s="29" t="s">
        <v>20</v>
      </c>
    </row>
    <row r="3" spans="1:118" ht="30" customHeight="1" x14ac:dyDescent="0.3">
      <c r="A3" s="6" t="s">
        <v>2</v>
      </c>
      <c r="B3" s="10" t="s">
        <v>37</v>
      </c>
      <c r="C3" s="128" t="s">
        <v>13</v>
      </c>
      <c r="D3" s="129"/>
      <c r="E3" s="127">
        <v>46314</v>
      </c>
      <c r="F3" s="127"/>
    </row>
    <row r="4" spans="1:118" ht="30" customHeight="1" x14ac:dyDescent="0.3">
      <c r="A4" s="7" t="s">
        <v>3</v>
      </c>
      <c r="C4" s="128" t="s">
        <v>14</v>
      </c>
      <c r="D4" s="129"/>
      <c r="E4" s="3">
        <v>1</v>
      </c>
      <c r="I4" s="124">
        <f>I5</f>
        <v>46314</v>
      </c>
      <c r="J4" s="125"/>
      <c r="K4" s="125"/>
      <c r="L4" s="125"/>
      <c r="M4" s="125"/>
      <c r="N4" s="125"/>
      <c r="O4" s="126"/>
      <c r="P4" s="124">
        <f>P5</f>
        <v>46321</v>
      </c>
      <c r="Q4" s="125"/>
      <c r="R4" s="125"/>
      <c r="S4" s="125"/>
      <c r="T4" s="125"/>
      <c r="U4" s="125"/>
      <c r="V4" s="126"/>
      <c r="W4" s="124">
        <f>W5</f>
        <v>46328</v>
      </c>
      <c r="X4" s="125"/>
      <c r="Y4" s="125"/>
      <c r="Z4" s="125"/>
      <c r="AA4" s="125"/>
      <c r="AB4" s="125"/>
      <c r="AC4" s="126"/>
      <c r="AD4" s="124">
        <f>AD5</f>
        <v>46335</v>
      </c>
      <c r="AE4" s="125"/>
      <c r="AF4" s="125"/>
      <c r="AG4" s="125"/>
      <c r="AH4" s="125"/>
      <c r="AI4" s="125"/>
      <c r="AJ4" s="126"/>
      <c r="AK4" s="124">
        <f>AK5</f>
        <v>46342</v>
      </c>
      <c r="AL4" s="125"/>
      <c r="AM4" s="125"/>
      <c r="AN4" s="125"/>
      <c r="AO4" s="125"/>
      <c r="AP4" s="125"/>
      <c r="AQ4" s="126"/>
      <c r="AR4" s="124">
        <f>AR5</f>
        <v>46349</v>
      </c>
      <c r="AS4" s="125"/>
      <c r="AT4" s="125"/>
      <c r="AU4" s="125"/>
      <c r="AV4" s="125"/>
      <c r="AW4" s="125"/>
      <c r="AX4" s="126"/>
      <c r="AY4" s="124">
        <f>AY5</f>
        <v>46356</v>
      </c>
      <c r="AZ4" s="125"/>
      <c r="BA4" s="125"/>
      <c r="BB4" s="125"/>
      <c r="BC4" s="125"/>
      <c r="BD4" s="125"/>
      <c r="BE4" s="126"/>
      <c r="BF4" s="124">
        <f>BF5</f>
        <v>46363</v>
      </c>
      <c r="BG4" s="125"/>
      <c r="BH4" s="125"/>
      <c r="BI4" s="125"/>
      <c r="BJ4" s="125"/>
      <c r="BK4" s="125"/>
      <c r="BL4" s="126"/>
      <c r="BM4" s="124">
        <f>BM5</f>
        <v>46370</v>
      </c>
      <c r="BN4" s="125"/>
      <c r="BO4" s="125"/>
      <c r="BP4" s="125"/>
      <c r="BQ4" s="125"/>
      <c r="BR4" s="125"/>
      <c r="BS4" s="126"/>
      <c r="BT4" s="124">
        <f>BT5</f>
        <v>46377</v>
      </c>
      <c r="BU4" s="125"/>
      <c r="BV4" s="125"/>
      <c r="BW4" s="125"/>
      <c r="BX4" s="125"/>
      <c r="BY4" s="125"/>
      <c r="BZ4" s="126"/>
      <c r="CA4" s="124">
        <f>CA5</f>
        <v>46384</v>
      </c>
      <c r="CB4" s="125"/>
      <c r="CC4" s="125"/>
      <c r="CD4" s="125"/>
      <c r="CE4" s="125"/>
      <c r="CF4" s="125"/>
      <c r="CG4" s="126"/>
      <c r="CH4" s="124">
        <f>CH5</f>
        <v>46391</v>
      </c>
      <c r="CI4" s="125"/>
      <c r="CJ4" s="125"/>
      <c r="CK4" s="125"/>
      <c r="CL4" s="125"/>
      <c r="CM4" s="125"/>
      <c r="CN4" s="126"/>
      <c r="CO4" s="124">
        <f>CO5</f>
        <v>46398</v>
      </c>
      <c r="CP4" s="125"/>
      <c r="CQ4" s="125"/>
      <c r="CR4" s="125"/>
      <c r="CS4" s="125"/>
      <c r="CT4" s="125"/>
      <c r="CU4" s="126"/>
      <c r="CV4" s="124">
        <f>CV5</f>
        <v>46405</v>
      </c>
      <c r="CW4" s="125"/>
      <c r="CX4" s="125"/>
      <c r="CY4" s="125"/>
      <c r="CZ4" s="125"/>
      <c r="DA4" s="125"/>
      <c r="DB4" s="126"/>
      <c r="DC4" s="124">
        <f>DC5</f>
        <v>46412</v>
      </c>
      <c r="DD4" s="125"/>
      <c r="DE4" s="125"/>
      <c r="DF4" s="125"/>
      <c r="DG4" s="125"/>
      <c r="DH4" s="125"/>
      <c r="DI4" s="126"/>
      <c r="DJ4" s="124">
        <f>DJ5</f>
        <v>46419</v>
      </c>
      <c r="DK4" s="125"/>
      <c r="DL4" s="125"/>
      <c r="DM4" s="125"/>
      <c r="DN4" s="125"/>
    </row>
    <row r="5" spans="1:118" ht="15" customHeight="1" x14ac:dyDescent="0.3">
      <c r="A5" s="7" t="s">
        <v>4</v>
      </c>
      <c r="B5" s="23"/>
      <c r="C5" s="23"/>
      <c r="D5" s="23"/>
      <c r="E5" s="23"/>
      <c r="F5" s="23"/>
      <c r="G5" s="23"/>
      <c r="I5" s="70">
        <f>プロジェクトの開始-WEEKDAY(プロジェクトの開始,1)+2+7*(週表示-1)</f>
        <v>46314</v>
      </c>
      <c r="J5" s="71">
        <f>I5+1</f>
        <v>46315</v>
      </c>
      <c r="K5" s="71">
        <f t="shared" ref="K5:AX5" si="0">J5+1</f>
        <v>46316</v>
      </c>
      <c r="L5" s="71">
        <f t="shared" si="0"/>
        <v>46317</v>
      </c>
      <c r="M5" s="71">
        <f t="shared" si="0"/>
        <v>46318</v>
      </c>
      <c r="N5" s="71">
        <f t="shared" si="0"/>
        <v>46319</v>
      </c>
      <c r="O5" s="72">
        <f t="shared" si="0"/>
        <v>46320</v>
      </c>
      <c r="P5" s="70">
        <f>O5+1</f>
        <v>46321</v>
      </c>
      <c r="Q5" s="71">
        <f>P5+1</f>
        <v>46322</v>
      </c>
      <c r="R5" s="71">
        <f t="shared" si="0"/>
        <v>46323</v>
      </c>
      <c r="S5" s="71">
        <f t="shared" si="0"/>
        <v>46324</v>
      </c>
      <c r="T5" s="71">
        <f t="shared" si="0"/>
        <v>46325</v>
      </c>
      <c r="U5" s="71">
        <f t="shared" si="0"/>
        <v>46326</v>
      </c>
      <c r="V5" s="72">
        <f t="shared" si="0"/>
        <v>46327</v>
      </c>
      <c r="W5" s="70">
        <f>V5+1</f>
        <v>46328</v>
      </c>
      <c r="X5" s="71">
        <f>W5+1</f>
        <v>46329</v>
      </c>
      <c r="Y5" s="71">
        <f t="shared" si="0"/>
        <v>46330</v>
      </c>
      <c r="Z5" s="71">
        <f t="shared" si="0"/>
        <v>46331</v>
      </c>
      <c r="AA5" s="71">
        <f t="shared" si="0"/>
        <v>46332</v>
      </c>
      <c r="AB5" s="71">
        <f t="shared" si="0"/>
        <v>46333</v>
      </c>
      <c r="AC5" s="72">
        <f t="shared" si="0"/>
        <v>46334</v>
      </c>
      <c r="AD5" s="70">
        <f>AC5+1</f>
        <v>46335</v>
      </c>
      <c r="AE5" s="71">
        <f>AD5+1</f>
        <v>46336</v>
      </c>
      <c r="AF5" s="71">
        <f t="shared" si="0"/>
        <v>46337</v>
      </c>
      <c r="AG5" s="71">
        <f t="shared" si="0"/>
        <v>46338</v>
      </c>
      <c r="AH5" s="71">
        <f t="shared" si="0"/>
        <v>46339</v>
      </c>
      <c r="AI5" s="71">
        <f t="shared" si="0"/>
        <v>46340</v>
      </c>
      <c r="AJ5" s="72">
        <f t="shared" si="0"/>
        <v>46341</v>
      </c>
      <c r="AK5" s="70">
        <f>AJ5+1</f>
        <v>46342</v>
      </c>
      <c r="AL5" s="71">
        <f>AK5+1</f>
        <v>46343</v>
      </c>
      <c r="AM5" s="71">
        <f t="shared" si="0"/>
        <v>46344</v>
      </c>
      <c r="AN5" s="71">
        <f t="shared" si="0"/>
        <v>46345</v>
      </c>
      <c r="AO5" s="71">
        <f t="shared" si="0"/>
        <v>46346</v>
      </c>
      <c r="AP5" s="71">
        <f t="shared" si="0"/>
        <v>46347</v>
      </c>
      <c r="AQ5" s="72">
        <f t="shared" si="0"/>
        <v>46348</v>
      </c>
      <c r="AR5" s="70">
        <f>AQ5+1</f>
        <v>46349</v>
      </c>
      <c r="AS5" s="71">
        <f>AR5+1</f>
        <v>46350</v>
      </c>
      <c r="AT5" s="71">
        <f t="shared" si="0"/>
        <v>46351</v>
      </c>
      <c r="AU5" s="71">
        <f t="shared" si="0"/>
        <v>46352</v>
      </c>
      <c r="AV5" s="71">
        <f t="shared" si="0"/>
        <v>46353</v>
      </c>
      <c r="AW5" s="71">
        <f t="shared" si="0"/>
        <v>46354</v>
      </c>
      <c r="AX5" s="72">
        <f t="shared" si="0"/>
        <v>46355</v>
      </c>
      <c r="AY5" s="70">
        <f>AX5+1</f>
        <v>46356</v>
      </c>
      <c r="AZ5" s="71">
        <f>AY5+1</f>
        <v>46357</v>
      </c>
      <c r="BA5" s="71">
        <f t="shared" ref="BA5:BE5" si="1">AZ5+1</f>
        <v>46358</v>
      </c>
      <c r="BB5" s="71">
        <f t="shared" si="1"/>
        <v>46359</v>
      </c>
      <c r="BC5" s="71">
        <f t="shared" si="1"/>
        <v>46360</v>
      </c>
      <c r="BD5" s="71">
        <f t="shared" si="1"/>
        <v>46361</v>
      </c>
      <c r="BE5" s="72">
        <f t="shared" si="1"/>
        <v>46362</v>
      </c>
      <c r="BF5" s="70">
        <f>BE5+1</f>
        <v>46363</v>
      </c>
      <c r="BG5" s="71">
        <f>BF5+1</f>
        <v>46364</v>
      </c>
      <c r="BH5" s="71">
        <f t="shared" ref="BH5:BL5" si="2">BG5+1</f>
        <v>46365</v>
      </c>
      <c r="BI5" s="71">
        <f t="shared" si="2"/>
        <v>46366</v>
      </c>
      <c r="BJ5" s="71">
        <f t="shared" si="2"/>
        <v>46367</v>
      </c>
      <c r="BK5" s="71">
        <f t="shared" si="2"/>
        <v>46368</v>
      </c>
      <c r="BL5" s="72">
        <f t="shared" si="2"/>
        <v>46369</v>
      </c>
      <c r="BM5" s="70">
        <f>BL5+1</f>
        <v>46370</v>
      </c>
      <c r="BN5" s="71">
        <f>BM5+1</f>
        <v>46371</v>
      </c>
      <c r="BO5" s="71">
        <f t="shared" ref="BO5" si="3">BN5+1</f>
        <v>46372</v>
      </c>
      <c r="BP5" s="71">
        <f t="shared" ref="BP5" si="4">BO5+1</f>
        <v>46373</v>
      </c>
      <c r="BQ5" s="71">
        <f t="shared" ref="BQ5" si="5">BP5+1</f>
        <v>46374</v>
      </c>
      <c r="BR5" s="71">
        <f t="shared" ref="BR5" si="6">BQ5+1</f>
        <v>46375</v>
      </c>
      <c r="BS5" s="72">
        <f t="shared" ref="BS5" si="7">BR5+1</f>
        <v>46376</v>
      </c>
      <c r="BT5" s="70">
        <f>BS5+1</f>
        <v>46377</v>
      </c>
      <c r="BU5" s="71">
        <f>BT5+1</f>
        <v>46378</v>
      </c>
      <c r="BV5" s="71">
        <f t="shared" ref="BV5" si="8">BU5+1</f>
        <v>46379</v>
      </c>
      <c r="BW5" s="71">
        <f t="shared" ref="BW5" si="9">BV5+1</f>
        <v>46380</v>
      </c>
      <c r="BX5" s="71">
        <f t="shared" ref="BX5" si="10">BW5+1</f>
        <v>46381</v>
      </c>
      <c r="BY5" s="71">
        <f t="shared" ref="BY5" si="11">BX5+1</f>
        <v>46382</v>
      </c>
      <c r="BZ5" s="72">
        <f t="shared" ref="BZ5" si="12">BY5+1</f>
        <v>46383</v>
      </c>
      <c r="CA5" s="70">
        <f>BZ5+1</f>
        <v>46384</v>
      </c>
      <c r="CB5" s="71">
        <f>CA5+1</f>
        <v>46385</v>
      </c>
      <c r="CC5" s="71">
        <f t="shared" ref="CC5" si="13">CB5+1</f>
        <v>46386</v>
      </c>
      <c r="CD5" s="71">
        <f t="shared" ref="CD5" si="14">CC5+1</f>
        <v>46387</v>
      </c>
      <c r="CE5" s="71">
        <f t="shared" ref="CE5" si="15">CD5+1</f>
        <v>46388</v>
      </c>
      <c r="CF5" s="71">
        <f t="shared" ref="CF5" si="16">CE5+1</f>
        <v>46389</v>
      </c>
      <c r="CG5" s="72">
        <f t="shared" ref="CG5" si="17">CF5+1</f>
        <v>46390</v>
      </c>
      <c r="CH5" s="70">
        <f>CG5+1</f>
        <v>46391</v>
      </c>
      <c r="CI5" s="71">
        <f>CH5+1</f>
        <v>46392</v>
      </c>
      <c r="CJ5" s="71">
        <f t="shared" ref="CJ5" si="18">CI5+1</f>
        <v>46393</v>
      </c>
      <c r="CK5" s="71">
        <f t="shared" ref="CK5" si="19">CJ5+1</f>
        <v>46394</v>
      </c>
      <c r="CL5" s="71">
        <f t="shared" ref="CL5" si="20">CK5+1</f>
        <v>46395</v>
      </c>
      <c r="CM5" s="71">
        <f t="shared" ref="CM5" si="21">CL5+1</f>
        <v>46396</v>
      </c>
      <c r="CN5" s="72">
        <f t="shared" ref="CN5" si="22">CM5+1</f>
        <v>46397</v>
      </c>
      <c r="CO5" s="70">
        <f>CN5+1</f>
        <v>46398</v>
      </c>
      <c r="CP5" s="71">
        <f>CO5+1</f>
        <v>46399</v>
      </c>
      <c r="CQ5" s="71">
        <f t="shared" ref="CQ5" si="23">CP5+1</f>
        <v>46400</v>
      </c>
      <c r="CR5" s="71">
        <f t="shared" ref="CR5" si="24">CQ5+1</f>
        <v>46401</v>
      </c>
      <c r="CS5" s="71">
        <f t="shared" ref="CS5" si="25">CR5+1</f>
        <v>46402</v>
      </c>
      <c r="CT5" s="71">
        <f t="shared" ref="CT5" si="26">CS5+1</f>
        <v>46403</v>
      </c>
      <c r="CU5" s="72">
        <f t="shared" ref="CU5" si="27">CT5+1</f>
        <v>46404</v>
      </c>
      <c r="CV5" s="70">
        <f>CU5+1</f>
        <v>46405</v>
      </c>
      <c r="CW5" s="71">
        <f>CV5+1</f>
        <v>46406</v>
      </c>
      <c r="CX5" s="71">
        <f t="shared" ref="CX5" si="28">CW5+1</f>
        <v>46407</v>
      </c>
      <c r="CY5" s="71">
        <f t="shared" ref="CY5" si="29">CX5+1</f>
        <v>46408</v>
      </c>
      <c r="CZ5" s="71">
        <f t="shared" ref="CZ5" si="30">CY5+1</f>
        <v>46409</v>
      </c>
      <c r="DA5" s="71">
        <f t="shared" ref="DA5" si="31">CZ5+1</f>
        <v>46410</v>
      </c>
      <c r="DB5" s="72">
        <f t="shared" ref="DB5" si="32">DA5+1</f>
        <v>46411</v>
      </c>
      <c r="DC5" s="70">
        <f>DB5+1</f>
        <v>46412</v>
      </c>
      <c r="DD5" s="71">
        <f>DC5+1</f>
        <v>46413</v>
      </c>
      <c r="DE5" s="71">
        <f t="shared" ref="DE5" si="33">DD5+1</f>
        <v>46414</v>
      </c>
      <c r="DF5" s="71">
        <f t="shared" ref="DF5" si="34">DE5+1</f>
        <v>46415</v>
      </c>
      <c r="DG5" s="71">
        <f t="shared" ref="DG5" si="35">DF5+1</f>
        <v>46416</v>
      </c>
      <c r="DH5" s="71">
        <f t="shared" ref="DH5" si="36">DG5+1</f>
        <v>46417</v>
      </c>
      <c r="DI5" s="72">
        <f t="shared" ref="DI5" si="37">DH5+1</f>
        <v>46418</v>
      </c>
      <c r="DJ5" s="70">
        <f>DI5+1</f>
        <v>46419</v>
      </c>
      <c r="DK5" s="71">
        <f>DJ5+1</f>
        <v>46420</v>
      </c>
      <c r="DL5" s="71">
        <f t="shared" ref="DL5" si="38">DK5+1</f>
        <v>46421</v>
      </c>
      <c r="DM5" s="71">
        <f t="shared" ref="DM5" si="39">DL5+1</f>
        <v>46422</v>
      </c>
      <c r="DN5" s="71">
        <f t="shared" ref="DN5" si="40">DM5+1</f>
        <v>46423</v>
      </c>
    </row>
    <row r="6" spans="1:118" ht="30" customHeight="1" thickBot="1" x14ac:dyDescent="0.35">
      <c r="A6" s="7" t="s">
        <v>5</v>
      </c>
      <c r="B6" s="30" t="s">
        <v>12</v>
      </c>
      <c r="C6" s="31" t="s">
        <v>33</v>
      </c>
      <c r="D6" s="31" t="s">
        <v>15</v>
      </c>
      <c r="E6" s="31" t="s">
        <v>16</v>
      </c>
      <c r="F6" s="31" t="s">
        <v>17</v>
      </c>
      <c r="G6" s="31"/>
      <c r="H6" s="31" t="s">
        <v>18</v>
      </c>
      <c r="I6" s="32" t="str">
        <f t="shared" ref="I6:AN6" si="41">LEFT(TEXT(I5,"aaa"),1)</f>
        <v>月</v>
      </c>
      <c r="J6" s="32" t="str">
        <f t="shared" si="41"/>
        <v>火</v>
      </c>
      <c r="K6" s="32" t="str">
        <f t="shared" si="41"/>
        <v>水</v>
      </c>
      <c r="L6" s="32" t="str">
        <f t="shared" si="41"/>
        <v>木</v>
      </c>
      <c r="M6" s="32" t="str">
        <f t="shared" si="41"/>
        <v>金</v>
      </c>
      <c r="N6" s="32" t="str">
        <f t="shared" si="41"/>
        <v>土</v>
      </c>
      <c r="O6" s="32" t="str">
        <f t="shared" si="41"/>
        <v>日</v>
      </c>
      <c r="P6" s="32" t="str">
        <f t="shared" si="41"/>
        <v>月</v>
      </c>
      <c r="Q6" s="32" t="str">
        <f t="shared" si="41"/>
        <v>火</v>
      </c>
      <c r="R6" s="32" t="str">
        <f t="shared" si="41"/>
        <v>水</v>
      </c>
      <c r="S6" s="32" t="str">
        <f t="shared" si="41"/>
        <v>木</v>
      </c>
      <c r="T6" s="32" t="str">
        <f t="shared" si="41"/>
        <v>金</v>
      </c>
      <c r="U6" s="32" t="str">
        <f t="shared" si="41"/>
        <v>土</v>
      </c>
      <c r="V6" s="32" t="str">
        <f t="shared" si="41"/>
        <v>日</v>
      </c>
      <c r="W6" s="32" t="str">
        <f t="shared" si="41"/>
        <v>月</v>
      </c>
      <c r="X6" s="32" t="str">
        <f t="shared" si="41"/>
        <v>火</v>
      </c>
      <c r="Y6" s="32" t="str">
        <f t="shared" si="41"/>
        <v>水</v>
      </c>
      <c r="Z6" s="32" t="str">
        <f t="shared" si="41"/>
        <v>木</v>
      </c>
      <c r="AA6" s="32" t="str">
        <f t="shared" si="41"/>
        <v>金</v>
      </c>
      <c r="AB6" s="32" t="str">
        <f t="shared" si="41"/>
        <v>土</v>
      </c>
      <c r="AC6" s="32" t="str">
        <f t="shared" si="41"/>
        <v>日</v>
      </c>
      <c r="AD6" s="32" t="str">
        <f t="shared" si="41"/>
        <v>月</v>
      </c>
      <c r="AE6" s="32" t="str">
        <f t="shared" si="41"/>
        <v>火</v>
      </c>
      <c r="AF6" s="121" t="str">
        <f t="shared" si="41"/>
        <v>水</v>
      </c>
      <c r="AG6" s="32" t="str">
        <f t="shared" si="41"/>
        <v>木</v>
      </c>
      <c r="AH6" s="32" t="str">
        <f t="shared" si="41"/>
        <v>金</v>
      </c>
      <c r="AI6" s="32" t="str">
        <f t="shared" si="41"/>
        <v>土</v>
      </c>
      <c r="AJ6" s="32" t="str">
        <f t="shared" si="41"/>
        <v>日</v>
      </c>
      <c r="AK6" s="32" t="str">
        <f t="shared" si="41"/>
        <v>月</v>
      </c>
      <c r="AL6" s="32" t="str">
        <f t="shared" si="41"/>
        <v>火</v>
      </c>
      <c r="AM6" s="32" t="str">
        <f t="shared" si="41"/>
        <v>水</v>
      </c>
      <c r="AN6" s="32" t="str">
        <f t="shared" si="41"/>
        <v>木</v>
      </c>
      <c r="AO6" s="32" t="str">
        <f t="shared" ref="AO6:BL6" si="42">LEFT(TEXT(AO5,"aaa"),1)</f>
        <v>金</v>
      </c>
      <c r="AP6" s="32" t="str">
        <f t="shared" si="42"/>
        <v>土</v>
      </c>
      <c r="AQ6" s="32" t="str">
        <f t="shared" si="42"/>
        <v>日</v>
      </c>
      <c r="AR6" s="32" t="str">
        <f t="shared" si="42"/>
        <v>月</v>
      </c>
      <c r="AS6" s="32" t="str">
        <f t="shared" si="42"/>
        <v>火</v>
      </c>
      <c r="AT6" s="32" t="str">
        <f t="shared" si="42"/>
        <v>水</v>
      </c>
      <c r="AU6" s="32" t="str">
        <f t="shared" si="42"/>
        <v>木</v>
      </c>
      <c r="AV6" s="32" t="str">
        <f t="shared" si="42"/>
        <v>金</v>
      </c>
      <c r="AW6" s="32" t="str">
        <f t="shared" si="42"/>
        <v>土</v>
      </c>
      <c r="AX6" s="32" t="str">
        <f t="shared" si="42"/>
        <v>日</v>
      </c>
      <c r="AY6" s="32" t="str">
        <f t="shared" si="42"/>
        <v>月</v>
      </c>
      <c r="AZ6" s="32" t="str">
        <f t="shared" si="42"/>
        <v>火</v>
      </c>
      <c r="BA6" s="32" t="str">
        <f t="shared" si="42"/>
        <v>水</v>
      </c>
      <c r="BB6" s="32" t="str">
        <f t="shared" si="42"/>
        <v>木</v>
      </c>
      <c r="BC6" s="32" t="str">
        <f t="shared" si="42"/>
        <v>金</v>
      </c>
      <c r="BD6" s="32" t="str">
        <f t="shared" si="42"/>
        <v>土</v>
      </c>
      <c r="BE6" s="32" t="str">
        <f t="shared" si="42"/>
        <v>日</v>
      </c>
      <c r="BF6" s="32" t="str">
        <f t="shared" si="42"/>
        <v>月</v>
      </c>
      <c r="BG6" s="32" t="str">
        <f t="shared" si="42"/>
        <v>火</v>
      </c>
      <c r="BH6" s="32" t="str">
        <f t="shared" si="42"/>
        <v>水</v>
      </c>
      <c r="BI6" s="32" t="str">
        <f t="shared" si="42"/>
        <v>木</v>
      </c>
      <c r="BJ6" s="32" t="str">
        <f t="shared" si="42"/>
        <v>金</v>
      </c>
      <c r="BK6" s="32" t="str">
        <f t="shared" si="42"/>
        <v>土</v>
      </c>
      <c r="BL6" s="32" t="str">
        <f t="shared" si="42"/>
        <v>日</v>
      </c>
      <c r="BM6" s="32" t="str">
        <f t="shared" ref="BM6:DB6" si="43">LEFT(TEXT(BM5,"aaa"),1)</f>
        <v>月</v>
      </c>
      <c r="BN6" s="121" t="str">
        <f t="shared" si="43"/>
        <v>火</v>
      </c>
      <c r="BO6" s="32" t="str">
        <f t="shared" si="43"/>
        <v>水</v>
      </c>
      <c r="BP6" s="32" t="str">
        <f t="shared" si="43"/>
        <v>木</v>
      </c>
      <c r="BQ6" s="32" t="str">
        <f t="shared" si="43"/>
        <v>金</v>
      </c>
      <c r="BR6" s="32" t="str">
        <f t="shared" si="43"/>
        <v>土</v>
      </c>
      <c r="BS6" s="32" t="str">
        <f t="shared" si="43"/>
        <v>日</v>
      </c>
      <c r="BT6" s="32" t="str">
        <f t="shared" si="43"/>
        <v>月</v>
      </c>
      <c r="BU6" s="32" t="str">
        <f t="shared" si="43"/>
        <v>火</v>
      </c>
      <c r="BV6" s="32" t="str">
        <f t="shared" si="43"/>
        <v>水</v>
      </c>
      <c r="BW6" s="32" t="str">
        <f t="shared" si="43"/>
        <v>木</v>
      </c>
      <c r="BX6" s="32" t="str">
        <f t="shared" si="43"/>
        <v>金</v>
      </c>
      <c r="BY6" s="32" t="str">
        <f t="shared" si="43"/>
        <v>土</v>
      </c>
      <c r="BZ6" s="32" t="str">
        <f t="shared" si="43"/>
        <v>日</v>
      </c>
      <c r="CA6" s="32" t="str">
        <f t="shared" si="43"/>
        <v>月</v>
      </c>
      <c r="CB6" s="32" t="str">
        <f t="shared" si="43"/>
        <v>火</v>
      </c>
      <c r="CC6" s="32" t="str">
        <f t="shared" si="43"/>
        <v>水</v>
      </c>
      <c r="CD6" s="32" t="str">
        <f t="shared" si="43"/>
        <v>木</v>
      </c>
      <c r="CE6" s="32" t="str">
        <f t="shared" si="43"/>
        <v>金</v>
      </c>
      <c r="CF6" s="32" t="str">
        <f t="shared" si="43"/>
        <v>土</v>
      </c>
      <c r="CG6" s="32" t="str">
        <f t="shared" si="43"/>
        <v>日</v>
      </c>
      <c r="CH6" s="32" t="str">
        <f t="shared" si="43"/>
        <v>月</v>
      </c>
      <c r="CI6" s="32" t="str">
        <f t="shared" si="43"/>
        <v>火</v>
      </c>
      <c r="CJ6" s="32" t="str">
        <f t="shared" si="43"/>
        <v>水</v>
      </c>
      <c r="CK6" s="32" t="str">
        <f t="shared" si="43"/>
        <v>木</v>
      </c>
      <c r="CL6" s="32" t="str">
        <f t="shared" si="43"/>
        <v>金</v>
      </c>
      <c r="CM6" s="32" t="str">
        <f t="shared" si="43"/>
        <v>土</v>
      </c>
      <c r="CN6" s="32" t="str">
        <f t="shared" si="43"/>
        <v>日</v>
      </c>
      <c r="CO6" s="32" t="str">
        <f t="shared" si="43"/>
        <v>月</v>
      </c>
      <c r="CP6" s="32" t="str">
        <f t="shared" si="43"/>
        <v>火</v>
      </c>
      <c r="CQ6" s="32" t="str">
        <f t="shared" si="43"/>
        <v>水</v>
      </c>
      <c r="CR6" s="32" t="str">
        <f t="shared" si="43"/>
        <v>木</v>
      </c>
      <c r="CS6" s="32" t="str">
        <f t="shared" si="43"/>
        <v>金</v>
      </c>
      <c r="CT6" s="32" t="str">
        <f t="shared" si="43"/>
        <v>土</v>
      </c>
      <c r="CU6" s="32" t="str">
        <f t="shared" si="43"/>
        <v>日</v>
      </c>
      <c r="CV6" s="32" t="str">
        <f t="shared" si="43"/>
        <v>月</v>
      </c>
      <c r="CW6" s="32" t="str">
        <f t="shared" si="43"/>
        <v>火</v>
      </c>
      <c r="CX6" s="32" t="str">
        <f t="shared" si="43"/>
        <v>水</v>
      </c>
      <c r="CY6" s="32" t="str">
        <f t="shared" si="43"/>
        <v>木</v>
      </c>
      <c r="CZ6" s="32" t="str">
        <f t="shared" si="43"/>
        <v>金</v>
      </c>
      <c r="DA6" s="32" t="str">
        <f t="shared" si="43"/>
        <v>土</v>
      </c>
      <c r="DB6" s="32" t="str">
        <f t="shared" si="43"/>
        <v>日</v>
      </c>
      <c r="DC6" s="32" t="str">
        <f t="shared" ref="DC6:DN6" si="44">LEFT(TEXT(DC5,"aaa"),1)</f>
        <v>月</v>
      </c>
      <c r="DD6" s="32" t="str">
        <f t="shared" si="44"/>
        <v>火</v>
      </c>
      <c r="DE6" s="32" t="str">
        <f t="shared" si="44"/>
        <v>水</v>
      </c>
      <c r="DF6" s="32" t="str">
        <f t="shared" si="44"/>
        <v>木</v>
      </c>
      <c r="DG6" s="32" t="str">
        <f t="shared" si="44"/>
        <v>金</v>
      </c>
      <c r="DH6" s="32" t="str">
        <f t="shared" si="44"/>
        <v>土</v>
      </c>
      <c r="DI6" s="32" t="str">
        <f t="shared" si="44"/>
        <v>日</v>
      </c>
      <c r="DJ6" s="32" t="str">
        <f t="shared" si="44"/>
        <v>月</v>
      </c>
      <c r="DK6" s="32" t="str">
        <f t="shared" si="44"/>
        <v>火</v>
      </c>
      <c r="DL6" s="32" t="str">
        <f t="shared" si="44"/>
        <v>水</v>
      </c>
      <c r="DM6" s="32" t="str">
        <f t="shared" si="44"/>
        <v>木</v>
      </c>
      <c r="DN6" s="121" t="str">
        <f t="shared" si="44"/>
        <v>金</v>
      </c>
    </row>
    <row r="7" spans="1:118" ht="30" hidden="1" customHeight="1" thickBot="1" x14ac:dyDescent="0.35">
      <c r="A7" s="6" t="s">
        <v>6</v>
      </c>
      <c r="C7" s="8"/>
      <c r="E7"/>
      <c r="H7" t="str">
        <f>IF(OR(ISBLANK(タスク_開始),ISBLANK(タスク_終了)),"",タスク_終了-タスク_開始+1)</f>
        <v/>
      </c>
      <c r="I7" s="4"/>
      <c r="J7" s="4"/>
      <c r="K7" s="4"/>
      <c r="L7" s="4"/>
      <c r="M7" s="4"/>
      <c r="N7" s="4"/>
      <c r="O7" s="4"/>
      <c r="P7" s="4"/>
      <c r="Q7" s="4"/>
      <c r="R7" s="4"/>
      <c r="S7" s="4"/>
      <c r="T7" s="4"/>
      <c r="U7" s="4"/>
      <c r="V7" s="4"/>
      <c r="W7" s="4"/>
      <c r="X7" s="4"/>
      <c r="Y7" s="4"/>
      <c r="Z7" s="4"/>
      <c r="AA7" s="4"/>
      <c r="AB7" s="4"/>
      <c r="AC7" s="4"/>
      <c r="AD7" s="4"/>
      <c r="AE7" s="4"/>
      <c r="AF7" s="122"/>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122"/>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122"/>
    </row>
    <row r="8" spans="1:118" s="1" customFormat="1" ht="30" customHeight="1" thickBot="1" x14ac:dyDescent="0.35">
      <c r="A8" s="7" t="s">
        <v>7</v>
      </c>
      <c r="B8" s="33" t="s">
        <v>40</v>
      </c>
      <c r="C8" s="11"/>
      <c r="D8" s="34"/>
      <c r="E8" s="58"/>
      <c r="F8" s="59"/>
      <c r="G8" s="35"/>
      <c r="H8" s="35" t="str">
        <f t="shared" ref="H8:H65" si="45">IF(OR(ISBLANK(タスク_開始),ISBLANK(タスク_終了)),"",タスク_終了-タスク_開始+1)</f>
        <v/>
      </c>
      <c r="I8" s="4"/>
      <c r="J8" s="4"/>
      <c r="K8" s="4"/>
      <c r="L8" s="4"/>
      <c r="M8" s="4"/>
      <c r="N8" s="4"/>
      <c r="O8" s="4"/>
      <c r="P8" s="4"/>
      <c r="Q8" s="4"/>
      <c r="R8" s="4"/>
      <c r="S8" s="4"/>
      <c r="T8" s="4"/>
      <c r="U8" s="4"/>
      <c r="V8" s="4"/>
      <c r="W8" s="4"/>
      <c r="X8" s="4"/>
      <c r="Y8" s="4"/>
      <c r="Z8" s="4"/>
      <c r="AA8" s="4"/>
      <c r="AB8" s="4"/>
      <c r="AC8" s="4"/>
      <c r="AD8" s="4"/>
      <c r="AE8" s="4"/>
      <c r="AF8" s="122"/>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122"/>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122"/>
    </row>
    <row r="9" spans="1:118" s="1" customFormat="1" ht="30" customHeight="1" thickBot="1" x14ac:dyDescent="0.35">
      <c r="A9" s="7" t="s">
        <v>8</v>
      </c>
      <c r="B9" s="19" t="s">
        <v>41</v>
      </c>
      <c r="C9" s="12" t="s">
        <v>39</v>
      </c>
      <c r="D9" s="36">
        <v>1</v>
      </c>
      <c r="E9" s="60">
        <f>プロジェクトの開始</f>
        <v>46314</v>
      </c>
      <c r="F9" s="60">
        <f t="shared" ref="F9:F15" si="46">E9</f>
        <v>46314</v>
      </c>
      <c r="G9" s="35"/>
      <c r="H9" s="35">
        <f t="shared" si="45"/>
        <v>1</v>
      </c>
      <c r="I9" s="4"/>
      <c r="J9" s="4"/>
      <c r="K9" s="4"/>
      <c r="L9" s="4"/>
      <c r="M9" s="4"/>
      <c r="N9" s="4"/>
      <c r="O9" s="4"/>
      <c r="P9" s="4"/>
      <c r="Q9" s="4"/>
      <c r="R9" s="4"/>
      <c r="S9" s="4"/>
      <c r="T9" s="4"/>
      <c r="U9" s="4"/>
      <c r="V9" s="4"/>
      <c r="W9" s="4"/>
      <c r="X9" s="4"/>
      <c r="Y9" s="4"/>
      <c r="Z9" s="4"/>
      <c r="AA9" s="4"/>
      <c r="AB9" s="4"/>
      <c r="AC9" s="4"/>
      <c r="AD9" s="4"/>
      <c r="AE9" s="4"/>
      <c r="AF9" s="122"/>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122"/>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122"/>
    </row>
    <row r="10" spans="1:118" s="1" customFormat="1" ht="30" customHeight="1" thickBot="1" x14ac:dyDescent="0.35">
      <c r="A10" s="7" t="s">
        <v>9</v>
      </c>
      <c r="B10" s="19" t="s">
        <v>42</v>
      </c>
      <c r="C10" s="12" t="s">
        <v>38</v>
      </c>
      <c r="D10" s="36">
        <v>1</v>
      </c>
      <c r="E10" s="60">
        <f>F9</f>
        <v>46314</v>
      </c>
      <c r="F10" s="60">
        <f t="shared" si="46"/>
        <v>46314</v>
      </c>
      <c r="G10" s="35"/>
      <c r="H10" s="35">
        <f t="shared" si="45"/>
        <v>1</v>
      </c>
      <c r="I10" s="4"/>
      <c r="J10" s="4"/>
      <c r="K10" s="4"/>
      <c r="L10" s="4"/>
      <c r="M10" s="4"/>
      <c r="N10" s="4"/>
      <c r="O10" s="4"/>
      <c r="P10" s="4"/>
      <c r="Q10" s="4"/>
      <c r="R10" s="4"/>
      <c r="S10" s="4"/>
      <c r="T10" s="4"/>
      <c r="U10" s="5"/>
      <c r="V10" s="5"/>
      <c r="W10" s="4"/>
      <c r="X10" s="4"/>
      <c r="Y10" s="4"/>
      <c r="Z10" s="4"/>
      <c r="AA10" s="4"/>
      <c r="AB10" s="4"/>
      <c r="AC10" s="4"/>
      <c r="AD10" s="4"/>
      <c r="AE10" s="4"/>
      <c r="AF10" s="122"/>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122"/>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122"/>
    </row>
    <row r="11" spans="1:118" s="1" customFormat="1" ht="30" customHeight="1" thickBot="1" x14ac:dyDescent="0.35">
      <c r="A11" s="6"/>
      <c r="B11" s="19" t="s">
        <v>43</v>
      </c>
      <c r="C11" s="12" t="s">
        <v>38</v>
      </c>
      <c r="D11" s="36">
        <v>1</v>
      </c>
      <c r="E11" s="60">
        <f>F10</f>
        <v>46314</v>
      </c>
      <c r="F11" s="60">
        <f t="shared" si="46"/>
        <v>46314</v>
      </c>
      <c r="G11" s="35"/>
      <c r="H11" s="35">
        <f t="shared" si="45"/>
        <v>1</v>
      </c>
      <c r="I11" s="4"/>
      <c r="J11" s="4"/>
      <c r="K11" s="4"/>
      <c r="L11" s="4"/>
      <c r="M11" s="4"/>
      <c r="N11" s="4"/>
      <c r="O11" s="4"/>
      <c r="P11" s="4"/>
      <c r="Q11" s="4"/>
      <c r="R11" s="4"/>
      <c r="S11" s="4"/>
      <c r="T11" s="4"/>
      <c r="U11" s="4"/>
      <c r="V11" s="4"/>
      <c r="W11" s="4"/>
      <c r="X11" s="4"/>
      <c r="Y11" s="4"/>
      <c r="Z11" s="4"/>
      <c r="AA11" s="4"/>
      <c r="AB11" s="4"/>
      <c r="AC11" s="4"/>
      <c r="AD11" s="4"/>
      <c r="AE11" s="4"/>
      <c r="AF11" s="122"/>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122"/>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122"/>
    </row>
    <row r="12" spans="1:118" s="1" customFormat="1" ht="30" customHeight="1" thickBot="1" x14ac:dyDescent="0.35">
      <c r="A12" s="6"/>
      <c r="B12" s="19" t="s">
        <v>44</v>
      </c>
      <c r="C12" s="12" t="s">
        <v>38</v>
      </c>
      <c r="D12" s="36">
        <v>1</v>
      </c>
      <c r="E12" s="60">
        <f>F11+1</f>
        <v>46315</v>
      </c>
      <c r="F12" s="60">
        <f t="shared" si="46"/>
        <v>46315</v>
      </c>
      <c r="G12" s="35"/>
      <c r="H12" s="35">
        <f t="shared" si="45"/>
        <v>1</v>
      </c>
      <c r="I12" s="4"/>
      <c r="J12" s="4"/>
      <c r="K12" s="4"/>
      <c r="L12" s="4"/>
      <c r="M12" s="4"/>
      <c r="N12" s="4"/>
      <c r="O12" s="4"/>
      <c r="P12" s="4"/>
      <c r="Q12" s="4"/>
      <c r="R12" s="4"/>
      <c r="S12" s="4"/>
      <c r="T12" s="4"/>
      <c r="U12" s="4"/>
      <c r="V12" s="4"/>
      <c r="W12" s="4"/>
      <c r="X12" s="4"/>
      <c r="Y12" s="5"/>
      <c r="Z12" s="4"/>
      <c r="AA12" s="4"/>
      <c r="AB12" s="4"/>
      <c r="AC12" s="4"/>
      <c r="AD12" s="4"/>
      <c r="AE12" s="4"/>
      <c r="AF12" s="122"/>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122"/>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122"/>
    </row>
    <row r="13" spans="1:118" s="1" customFormat="1" ht="30" customHeight="1" thickBot="1" x14ac:dyDescent="0.35">
      <c r="A13" s="6"/>
      <c r="B13" s="19" t="s">
        <v>45</v>
      </c>
      <c r="C13" s="12" t="s">
        <v>38</v>
      </c>
      <c r="D13" s="36">
        <v>1</v>
      </c>
      <c r="E13" s="60">
        <f>F12</f>
        <v>46315</v>
      </c>
      <c r="F13" s="60">
        <f t="shared" si="46"/>
        <v>46315</v>
      </c>
      <c r="G13" s="35"/>
      <c r="H13" s="35">
        <f t="shared" si="45"/>
        <v>1</v>
      </c>
      <c r="I13" s="4"/>
      <c r="J13" s="4"/>
      <c r="K13" s="4"/>
      <c r="L13" s="4"/>
      <c r="M13" s="4"/>
      <c r="N13" s="4"/>
      <c r="O13" s="4"/>
      <c r="P13" s="4"/>
      <c r="Q13" s="4"/>
      <c r="R13" s="4"/>
      <c r="S13" s="4"/>
      <c r="T13" s="4"/>
      <c r="U13" s="4"/>
      <c r="V13" s="4"/>
      <c r="W13" s="4"/>
      <c r="X13" s="4"/>
      <c r="Y13" s="4"/>
      <c r="Z13" s="4"/>
      <c r="AA13" s="4"/>
      <c r="AB13" s="4"/>
      <c r="AC13" s="4"/>
      <c r="AD13" s="4"/>
      <c r="AE13" s="4"/>
      <c r="AF13" s="122"/>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122"/>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122"/>
    </row>
    <row r="14" spans="1:118" s="1" customFormat="1" ht="30" customHeight="1" thickBot="1" x14ac:dyDescent="0.35">
      <c r="A14" s="6"/>
      <c r="B14" s="19" t="s">
        <v>46</v>
      </c>
      <c r="C14" s="12" t="s">
        <v>38</v>
      </c>
      <c r="D14" s="36">
        <v>1</v>
      </c>
      <c r="E14" s="60">
        <f>F13+1</f>
        <v>46316</v>
      </c>
      <c r="F14" s="60">
        <f t="shared" si="46"/>
        <v>46316</v>
      </c>
      <c r="G14" s="35"/>
      <c r="H14" s="35">
        <f t="shared" si="45"/>
        <v>1</v>
      </c>
      <c r="I14" s="4"/>
      <c r="J14" s="4"/>
      <c r="K14" s="4"/>
      <c r="L14" s="4"/>
      <c r="M14" s="4"/>
      <c r="N14" s="4"/>
      <c r="O14" s="4"/>
      <c r="P14" s="4"/>
      <c r="Q14" s="4"/>
      <c r="R14" s="4"/>
      <c r="S14" s="4"/>
      <c r="T14" s="4"/>
      <c r="U14" s="4"/>
      <c r="V14" s="4"/>
      <c r="W14" s="4"/>
      <c r="X14" s="4"/>
      <c r="Y14" s="4"/>
      <c r="Z14" s="4"/>
      <c r="AA14" s="4"/>
      <c r="AB14" s="4"/>
      <c r="AC14" s="4"/>
      <c r="AD14" s="4"/>
      <c r="AE14" s="4"/>
      <c r="AF14" s="122"/>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122"/>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122"/>
    </row>
    <row r="15" spans="1:118" s="1" customFormat="1" ht="30" customHeight="1" thickBot="1" x14ac:dyDescent="0.35">
      <c r="A15" s="6"/>
      <c r="B15" s="19" t="s">
        <v>47</v>
      </c>
      <c r="C15" s="12" t="s">
        <v>38</v>
      </c>
      <c r="D15" s="36">
        <v>1</v>
      </c>
      <c r="E15" s="60">
        <f>F14</f>
        <v>46316</v>
      </c>
      <c r="F15" s="60">
        <f t="shared" si="46"/>
        <v>46316</v>
      </c>
      <c r="G15" s="35"/>
      <c r="H15" s="35">
        <f t="shared" si="45"/>
        <v>1</v>
      </c>
      <c r="I15" s="4"/>
      <c r="J15" s="4"/>
      <c r="K15" s="4"/>
      <c r="L15" s="4"/>
      <c r="M15" s="4"/>
      <c r="N15" s="4"/>
      <c r="O15" s="4"/>
      <c r="P15" s="4"/>
      <c r="Q15" s="4"/>
      <c r="R15" s="4"/>
      <c r="S15" s="4"/>
      <c r="T15" s="4"/>
      <c r="U15" s="4"/>
      <c r="V15" s="4"/>
      <c r="W15" s="4"/>
      <c r="X15" s="4"/>
      <c r="Y15" s="4"/>
      <c r="Z15" s="4"/>
      <c r="AA15" s="4"/>
      <c r="AB15" s="4"/>
      <c r="AC15" s="4"/>
      <c r="AD15" s="4"/>
      <c r="AE15" s="4"/>
      <c r="AF15" s="122"/>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122"/>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122"/>
    </row>
    <row r="16" spans="1:118" s="1" customFormat="1" ht="30" customHeight="1" thickBot="1" x14ac:dyDescent="0.35">
      <c r="A16" s="7" t="s">
        <v>10</v>
      </c>
      <c r="B16" s="37" t="s">
        <v>48</v>
      </c>
      <c r="C16" s="13"/>
      <c r="D16" s="38"/>
      <c r="E16" s="61"/>
      <c r="F16" s="62"/>
      <c r="G16" s="35"/>
      <c r="H16" s="35" t="str">
        <f t="shared" si="45"/>
        <v/>
      </c>
      <c r="I16" s="4"/>
      <c r="J16" s="4"/>
      <c r="K16" s="4"/>
      <c r="L16" s="4"/>
      <c r="M16" s="4"/>
      <c r="N16" s="4"/>
      <c r="O16" s="4"/>
      <c r="P16" s="4"/>
      <c r="Q16" s="4"/>
      <c r="R16" s="4"/>
      <c r="S16" s="4"/>
      <c r="T16" s="4"/>
      <c r="U16" s="4"/>
      <c r="V16" s="4"/>
      <c r="W16" s="4"/>
      <c r="X16" s="4"/>
      <c r="Y16" s="4"/>
      <c r="Z16" s="4"/>
      <c r="AA16" s="4"/>
      <c r="AB16" s="4"/>
      <c r="AC16" s="4"/>
      <c r="AD16" s="4"/>
      <c r="AE16" s="4"/>
      <c r="AF16" s="122"/>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122"/>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122"/>
    </row>
    <row r="17" spans="1:118" s="1" customFormat="1" ht="30" customHeight="1" thickBot="1" x14ac:dyDescent="0.35">
      <c r="A17" s="7"/>
      <c r="B17" s="20" t="s">
        <v>49</v>
      </c>
      <c r="C17" s="14" t="s">
        <v>38</v>
      </c>
      <c r="D17" s="39">
        <v>1</v>
      </c>
      <c r="E17" s="63">
        <f>F15+1</f>
        <v>46317</v>
      </c>
      <c r="F17" s="63">
        <f t="shared" ref="F17:F29" si="47">E17</f>
        <v>46317</v>
      </c>
      <c r="G17" s="35"/>
      <c r="H17" s="35">
        <f t="shared" si="45"/>
        <v>1</v>
      </c>
      <c r="I17" s="4"/>
      <c r="J17" s="4"/>
      <c r="K17" s="4"/>
      <c r="L17" s="4"/>
      <c r="M17" s="4"/>
      <c r="N17" s="4"/>
      <c r="O17" s="4"/>
      <c r="P17" s="4"/>
      <c r="Q17" s="4"/>
      <c r="R17" s="4"/>
      <c r="S17" s="4"/>
      <c r="T17" s="4"/>
      <c r="U17" s="4"/>
      <c r="V17" s="4"/>
      <c r="W17" s="4"/>
      <c r="X17" s="4"/>
      <c r="Y17" s="4"/>
      <c r="Z17" s="4"/>
      <c r="AA17" s="4"/>
      <c r="AB17" s="4"/>
      <c r="AC17" s="4"/>
      <c r="AD17" s="4"/>
      <c r="AE17" s="4"/>
      <c r="AF17" s="122"/>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122"/>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122"/>
    </row>
    <row r="18" spans="1:118" s="1" customFormat="1" ht="30" customHeight="1" thickBot="1" x14ac:dyDescent="0.35">
      <c r="A18" s="6"/>
      <c r="B18" s="20" t="s">
        <v>50</v>
      </c>
      <c r="C18" s="14" t="s">
        <v>38</v>
      </c>
      <c r="D18" s="39">
        <v>1</v>
      </c>
      <c r="E18" s="63">
        <f>F17</f>
        <v>46317</v>
      </c>
      <c r="F18" s="63">
        <f t="shared" si="47"/>
        <v>46317</v>
      </c>
      <c r="G18" s="35"/>
      <c r="H18" s="35">
        <f t="shared" si="45"/>
        <v>1</v>
      </c>
      <c r="I18" s="4"/>
      <c r="J18" s="4"/>
      <c r="K18" s="4"/>
      <c r="L18" s="4"/>
      <c r="M18" s="4"/>
      <c r="N18" s="4"/>
      <c r="O18" s="4"/>
      <c r="P18" s="4"/>
      <c r="Q18" s="4"/>
      <c r="R18" s="4"/>
      <c r="S18" s="4"/>
      <c r="T18" s="4"/>
      <c r="U18" s="5"/>
      <c r="V18" s="5"/>
      <c r="W18" s="4"/>
      <c r="X18" s="4"/>
      <c r="Y18" s="4"/>
      <c r="Z18" s="4"/>
      <c r="AA18" s="4"/>
      <c r="AB18" s="4"/>
      <c r="AC18" s="4"/>
      <c r="AD18" s="4"/>
      <c r="AE18" s="4"/>
      <c r="AF18" s="122"/>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122"/>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122"/>
    </row>
    <row r="19" spans="1:118" s="1" customFormat="1" ht="30" customHeight="1" thickBot="1" x14ac:dyDescent="0.35">
      <c r="A19" s="6"/>
      <c r="B19" s="20" t="s">
        <v>51</v>
      </c>
      <c r="C19" s="14" t="s">
        <v>38</v>
      </c>
      <c r="D19" s="39">
        <v>1</v>
      </c>
      <c r="E19" s="63">
        <f>F18</f>
        <v>46317</v>
      </c>
      <c r="F19" s="63">
        <f t="shared" si="47"/>
        <v>46317</v>
      </c>
      <c r="G19" s="35"/>
      <c r="H19" s="35">
        <f t="shared" si="45"/>
        <v>1</v>
      </c>
      <c r="I19" s="4"/>
      <c r="J19" s="4"/>
      <c r="K19" s="4"/>
      <c r="L19" s="4"/>
      <c r="M19" s="4"/>
      <c r="N19" s="4"/>
      <c r="O19" s="4"/>
      <c r="P19" s="4"/>
      <c r="Q19" s="4"/>
      <c r="R19" s="4"/>
      <c r="S19" s="4"/>
      <c r="T19" s="4"/>
      <c r="U19" s="4"/>
      <c r="V19" s="4"/>
      <c r="W19" s="4"/>
      <c r="X19" s="4"/>
      <c r="Y19" s="4"/>
      <c r="Z19" s="4"/>
      <c r="AA19" s="4"/>
      <c r="AB19" s="4"/>
      <c r="AC19" s="4"/>
      <c r="AD19" s="4"/>
      <c r="AE19" s="4"/>
      <c r="AF19" s="122"/>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122"/>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122"/>
    </row>
    <row r="20" spans="1:118" s="1" customFormat="1" ht="30" customHeight="1" thickBot="1" x14ac:dyDescent="0.35">
      <c r="A20" s="6"/>
      <c r="B20" s="20" t="s">
        <v>52</v>
      </c>
      <c r="C20" s="14" t="s">
        <v>38</v>
      </c>
      <c r="D20" s="39">
        <v>1</v>
      </c>
      <c r="E20" s="63">
        <f>F19+1</f>
        <v>46318</v>
      </c>
      <c r="F20" s="63">
        <f t="shared" si="47"/>
        <v>46318</v>
      </c>
      <c r="G20" s="35"/>
      <c r="H20" s="35">
        <f t="shared" si="45"/>
        <v>1</v>
      </c>
      <c r="I20" s="4"/>
      <c r="J20" s="4"/>
      <c r="K20" s="4"/>
      <c r="L20" s="4"/>
      <c r="M20" s="4"/>
      <c r="N20" s="4"/>
      <c r="O20" s="4"/>
      <c r="P20" s="4"/>
      <c r="Q20" s="4"/>
      <c r="R20" s="4"/>
      <c r="S20" s="4"/>
      <c r="T20" s="4"/>
      <c r="U20" s="4"/>
      <c r="V20" s="4"/>
      <c r="W20" s="4"/>
      <c r="X20" s="4"/>
      <c r="Y20" s="5"/>
      <c r="Z20" s="4"/>
      <c r="AA20" s="4"/>
      <c r="AB20" s="4"/>
      <c r="AC20" s="4"/>
      <c r="AD20" s="4"/>
      <c r="AE20" s="4"/>
      <c r="AF20" s="122"/>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122"/>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122"/>
    </row>
    <row r="21" spans="1:118" s="1" customFormat="1" ht="30" customHeight="1" thickBot="1" x14ac:dyDescent="0.35">
      <c r="A21" s="6"/>
      <c r="B21" s="20" t="s">
        <v>53</v>
      </c>
      <c r="C21" s="14" t="s">
        <v>38</v>
      </c>
      <c r="D21" s="39">
        <v>1</v>
      </c>
      <c r="E21" s="63">
        <f>F20</f>
        <v>46318</v>
      </c>
      <c r="F21" s="63">
        <f t="shared" si="47"/>
        <v>46318</v>
      </c>
      <c r="G21" s="35"/>
      <c r="H21" s="35">
        <f t="shared" si="45"/>
        <v>1</v>
      </c>
      <c r="I21" s="4"/>
      <c r="J21" s="4"/>
      <c r="K21" s="4"/>
      <c r="L21" s="4"/>
      <c r="M21" s="4"/>
      <c r="N21" s="4"/>
      <c r="O21" s="4"/>
      <c r="P21" s="4"/>
      <c r="Q21" s="4"/>
      <c r="R21" s="4"/>
      <c r="S21" s="4"/>
      <c r="T21" s="4"/>
      <c r="U21" s="4"/>
      <c r="V21" s="4"/>
      <c r="W21" s="4"/>
      <c r="X21" s="4"/>
      <c r="Y21" s="4"/>
      <c r="Z21" s="4"/>
      <c r="AA21" s="4"/>
      <c r="AB21" s="4"/>
      <c r="AC21" s="4"/>
      <c r="AD21" s="4"/>
      <c r="AE21" s="4"/>
      <c r="AF21" s="122"/>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122"/>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122"/>
    </row>
    <row r="22" spans="1:118" s="1" customFormat="1" ht="30" customHeight="1" thickBot="1" x14ac:dyDescent="0.35">
      <c r="A22" s="6"/>
      <c r="B22" s="20" t="s">
        <v>54</v>
      </c>
      <c r="C22" s="14" t="s">
        <v>38</v>
      </c>
      <c r="D22" s="39">
        <v>1</v>
      </c>
      <c r="E22" s="63">
        <f>F21</f>
        <v>46318</v>
      </c>
      <c r="F22" s="63">
        <f t="shared" si="47"/>
        <v>46318</v>
      </c>
      <c r="G22" s="35"/>
      <c r="H22" s="35">
        <f t="shared" si="45"/>
        <v>1</v>
      </c>
      <c r="I22" s="4"/>
      <c r="J22" s="4"/>
      <c r="K22" s="4"/>
      <c r="L22" s="4"/>
      <c r="M22" s="4"/>
      <c r="N22" s="4"/>
      <c r="O22" s="4"/>
      <c r="P22" s="4"/>
      <c r="Q22" s="4"/>
      <c r="R22" s="4"/>
      <c r="S22" s="4"/>
      <c r="T22" s="4"/>
      <c r="U22" s="4"/>
      <c r="V22" s="4"/>
      <c r="W22" s="4"/>
      <c r="X22" s="4"/>
      <c r="Y22" s="4"/>
      <c r="Z22" s="4"/>
      <c r="AA22" s="4"/>
      <c r="AB22" s="4"/>
      <c r="AC22" s="4"/>
      <c r="AD22" s="4"/>
      <c r="AE22" s="4"/>
      <c r="AF22" s="122"/>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122"/>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122"/>
    </row>
    <row r="23" spans="1:118" s="1" customFormat="1" ht="30" customHeight="1" thickBot="1" x14ac:dyDescent="0.35">
      <c r="A23" s="6"/>
      <c r="B23" s="20" t="s">
        <v>55</v>
      </c>
      <c r="C23" s="14" t="s">
        <v>38</v>
      </c>
      <c r="D23" s="39">
        <v>1</v>
      </c>
      <c r="E23" s="63">
        <f>F22+3</f>
        <v>46321</v>
      </c>
      <c r="F23" s="63">
        <f t="shared" si="47"/>
        <v>46321</v>
      </c>
      <c r="G23" s="35"/>
      <c r="H23" s="35">
        <f t="shared" si="45"/>
        <v>1</v>
      </c>
      <c r="I23" s="4"/>
      <c r="J23" s="4"/>
      <c r="K23" s="4"/>
      <c r="L23" s="4"/>
      <c r="M23" s="4"/>
      <c r="N23" s="4"/>
      <c r="O23" s="4"/>
      <c r="P23" s="4"/>
      <c r="Q23" s="4"/>
      <c r="R23" s="4"/>
      <c r="S23" s="4"/>
      <c r="T23" s="4"/>
      <c r="U23" s="4"/>
      <c r="V23" s="4"/>
      <c r="W23" s="4"/>
      <c r="X23" s="4"/>
      <c r="Y23" s="4"/>
      <c r="Z23" s="4"/>
      <c r="AA23" s="4"/>
      <c r="AB23" s="4"/>
      <c r="AC23" s="4"/>
      <c r="AD23" s="4"/>
      <c r="AE23" s="4"/>
      <c r="AF23" s="122"/>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122"/>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122"/>
    </row>
    <row r="24" spans="1:118" s="1" customFormat="1" ht="30" customHeight="1" thickBot="1" x14ac:dyDescent="0.35">
      <c r="A24" s="6"/>
      <c r="B24" s="20" t="s">
        <v>56</v>
      </c>
      <c r="C24" s="14" t="s">
        <v>38</v>
      </c>
      <c r="D24" s="39">
        <v>1</v>
      </c>
      <c r="E24" s="63">
        <f>F23</f>
        <v>46321</v>
      </c>
      <c r="F24" s="63">
        <f t="shared" si="47"/>
        <v>46321</v>
      </c>
      <c r="G24" s="35"/>
      <c r="H24" s="35">
        <f t="shared" si="45"/>
        <v>1</v>
      </c>
      <c r="I24" s="4"/>
      <c r="J24" s="4"/>
      <c r="K24" s="4"/>
      <c r="L24" s="4"/>
      <c r="M24" s="4"/>
      <c r="N24" s="4"/>
      <c r="O24" s="4"/>
      <c r="P24" s="4"/>
      <c r="Q24" s="4"/>
      <c r="R24" s="4"/>
      <c r="S24" s="4"/>
      <c r="T24" s="4"/>
      <c r="U24" s="4"/>
      <c r="V24" s="4"/>
      <c r="W24" s="4"/>
      <c r="X24" s="4"/>
      <c r="Y24" s="4"/>
      <c r="Z24" s="4"/>
      <c r="AA24" s="4"/>
      <c r="AB24" s="4"/>
      <c r="AC24" s="4"/>
      <c r="AD24" s="4"/>
      <c r="AE24" s="4"/>
      <c r="AF24" s="122"/>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122"/>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122"/>
    </row>
    <row r="25" spans="1:118" s="1" customFormat="1" ht="30" customHeight="1" thickBot="1" x14ac:dyDescent="0.35">
      <c r="A25" s="6"/>
      <c r="B25" s="20" t="s">
        <v>57</v>
      </c>
      <c r="C25" s="14" t="s">
        <v>38</v>
      </c>
      <c r="D25" s="39">
        <v>0</v>
      </c>
      <c r="E25" s="63">
        <f>F24+1</f>
        <v>46322</v>
      </c>
      <c r="F25" s="63">
        <f t="shared" si="47"/>
        <v>46322</v>
      </c>
      <c r="G25" s="35"/>
      <c r="H25" s="35">
        <f t="shared" si="45"/>
        <v>1</v>
      </c>
      <c r="I25" s="4"/>
      <c r="J25" s="4"/>
      <c r="K25" s="4"/>
      <c r="L25" s="4"/>
      <c r="M25" s="4"/>
      <c r="N25" s="4"/>
      <c r="O25" s="4"/>
      <c r="P25" s="4"/>
      <c r="Q25" s="4"/>
      <c r="R25" s="4"/>
      <c r="S25" s="4"/>
      <c r="T25" s="4"/>
      <c r="U25" s="4"/>
      <c r="V25" s="4"/>
      <c r="W25" s="4"/>
      <c r="X25" s="4"/>
      <c r="Y25" s="4"/>
      <c r="Z25" s="4"/>
      <c r="AA25" s="4"/>
      <c r="AB25" s="4"/>
      <c r="AC25" s="4"/>
      <c r="AD25" s="4"/>
      <c r="AE25" s="4"/>
      <c r="AF25" s="122"/>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122"/>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122"/>
    </row>
    <row r="26" spans="1:118" s="1" customFormat="1" ht="30" customHeight="1" thickBot="1" x14ac:dyDescent="0.35">
      <c r="A26" s="6"/>
      <c r="B26" s="20" t="s">
        <v>58</v>
      </c>
      <c r="C26" s="14" t="s">
        <v>38</v>
      </c>
      <c r="D26" s="39">
        <v>0</v>
      </c>
      <c r="E26" s="63">
        <f>F25</f>
        <v>46322</v>
      </c>
      <c r="F26" s="63">
        <f t="shared" si="47"/>
        <v>46322</v>
      </c>
      <c r="G26" s="35"/>
      <c r="H26" s="35">
        <f t="shared" si="45"/>
        <v>1</v>
      </c>
      <c r="I26" s="4"/>
      <c r="J26" s="4"/>
      <c r="K26" s="4"/>
      <c r="L26" s="4"/>
      <c r="M26" s="4"/>
      <c r="N26" s="4"/>
      <c r="O26" s="4"/>
      <c r="P26" s="4"/>
      <c r="Q26" s="4"/>
      <c r="R26" s="4"/>
      <c r="S26" s="4"/>
      <c r="T26" s="4"/>
      <c r="U26" s="4"/>
      <c r="V26" s="4"/>
      <c r="W26" s="4"/>
      <c r="X26" s="4"/>
      <c r="Y26" s="4"/>
      <c r="Z26" s="4"/>
      <c r="AA26" s="4"/>
      <c r="AB26" s="4"/>
      <c r="AC26" s="4"/>
      <c r="AD26" s="4"/>
      <c r="AE26" s="4"/>
      <c r="AF26" s="122"/>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122"/>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122"/>
    </row>
    <row r="27" spans="1:118" s="1" customFormat="1" ht="30" customHeight="1" thickBot="1" x14ac:dyDescent="0.35">
      <c r="A27" s="6"/>
      <c r="B27" s="20" t="s">
        <v>59</v>
      </c>
      <c r="C27" s="14" t="s">
        <v>38</v>
      </c>
      <c r="D27" s="39">
        <v>0</v>
      </c>
      <c r="E27" s="63">
        <f>F26+1</f>
        <v>46323</v>
      </c>
      <c r="F27" s="63">
        <f t="shared" si="47"/>
        <v>46323</v>
      </c>
      <c r="G27" s="35"/>
      <c r="H27" s="35">
        <f t="shared" si="45"/>
        <v>1</v>
      </c>
      <c r="I27" s="4"/>
      <c r="J27" s="4"/>
      <c r="K27" s="4"/>
      <c r="L27" s="4"/>
      <c r="M27" s="4"/>
      <c r="N27" s="4"/>
      <c r="O27" s="4"/>
      <c r="P27" s="4"/>
      <c r="Q27" s="4"/>
      <c r="R27" s="4"/>
      <c r="S27" s="4"/>
      <c r="T27" s="4"/>
      <c r="U27" s="4"/>
      <c r="V27" s="4"/>
      <c r="W27" s="4"/>
      <c r="X27" s="4"/>
      <c r="Y27" s="4"/>
      <c r="Z27" s="4"/>
      <c r="AA27" s="4"/>
      <c r="AB27" s="4"/>
      <c r="AC27" s="4"/>
      <c r="AD27" s="4"/>
      <c r="AE27" s="4"/>
      <c r="AF27" s="122"/>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122"/>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122"/>
    </row>
    <row r="28" spans="1:118" s="1" customFormat="1" ht="30" customHeight="1" thickBot="1" x14ac:dyDescent="0.35">
      <c r="A28" s="6"/>
      <c r="B28" s="20" t="s">
        <v>60</v>
      </c>
      <c r="C28" s="14" t="s">
        <v>38</v>
      </c>
      <c r="D28" s="39">
        <v>0</v>
      </c>
      <c r="E28" s="63">
        <f>F27</f>
        <v>46323</v>
      </c>
      <c r="F28" s="63">
        <f t="shared" si="47"/>
        <v>46323</v>
      </c>
      <c r="G28" s="35"/>
      <c r="H28" s="35">
        <f t="shared" si="45"/>
        <v>1</v>
      </c>
      <c r="I28" s="4"/>
      <c r="J28" s="4"/>
      <c r="K28" s="4"/>
      <c r="L28" s="4"/>
      <c r="M28" s="4"/>
      <c r="N28" s="4"/>
      <c r="O28" s="4"/>
      <c r="P28" s="4"/>
      <c r="Q28" s="4"/>
      <c r="R28" s="4"/>
      <c r="S28" s="4"/>
      <c r="T28" s="4"/>
      <c r="U28" s="4"/>
      <c r="V28" s="4"/>
      <c r="W28" s="4"/>
      <c r="X28" s="4"/>
      <c r="Y28" s="4"/>
      <c r="Z28" s="4"/>
      <c r="AA28" s="4"/>
      <c r="AB28" s="4"/>
      <c r="AC28" s="4"/>
      <c r="AD28" s="4"/>
      <c r="AE28" s="4"/>
      <c r="AF28" s="122"/>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122"/>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122"/>
    </row>
    <row r="29" spans="1:118" s="1" customFormat="1" ht="30" customHeight="1" thickBot="1" x14ac:dyDescent="0.35">
      <c r="A29" s="6"/>
      <c r="B29" s="20" t="s">
        <v>61</v>
      </c>
      <c r="C29" s="14" t="s">
        <v>38</v>
      </c>
      <c r="D29" s="39">
        <v>0</v>
      </c>
      <c r="E29" s="63">
        <f>F28</f>
        <v>46323</v>
      </c>
      <c r="F29" s="63">
        <f t="shared" si="47"/>
        <v>46323</v>
      </c>
      <c r="G29" s="35"/>
      <c r="H29" s="35">
        <f t="shared" si="45"/>
        <v>1</v>
      </c>
      <c r="I29" s="4"/>
      <c r="J29" s="4"/>
      <c r="K29" s="4"/>
      <c r="L29" s="4"/>
      <c r="M29" s="4"/>
      <c r="N29" s="4"/>
      <c r="O29" s="4"/>
      <c r="P29" s="4"/>
      <c r="Q29" s="4"/>
      <c r="R29" s="4"/>
      <c r="S29" s="4"/>
      <c r="T29" s="4"/>
      <c r="U29" s="4"/>
      <c r="V29" s="4"/>
      <c r="W29" s="4"/>
      <c r="X29" s="4"/>
      <c r="Y29" s="4"/>
      <c r="Z29" s="4"/>
      <c r="AA29" s="4"/>
      <c r="AB29" s="4"/>
      <c r="AC29" s="4"/>
      <c r="AD29" s="4"/>
      <c r="AE29" s="4"/>
      <c r="AF29" s="122"/>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122"/>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122"/>
    </row>
    <row r="30" spans="1:118" s="1" customFormat="1" ht="30" customHeight="1" thickBot="1" x14ac:dyDescent="0.35">
      <c r="A30" s="6" t="s">
        <v>11</v>
      </c>
      <c r="B30" s="40" t="s">
        <v>62</v>
      </c>
      <c r="C30" s="15"/>
      <c r="D30" s="41"/>
      <c r="E30" s="64"/>
      <c r="F30" s="65"/>
      <c r="G30" s="35"/>
      <c r="H30" s="35" t="str">
        <f t="shared" si="45"/>
        <v/>
      </c>
      <c r="I30" s="4"/>
      <c r="J30" s="4"/>
      <c r="K30" s="4"/>
      <c r="L30" s="4"/>
      <c r="M30" s="4"/>
      <c r="N30" s="4"/>
      <c r="O30" s="4"/>
      <c r="P30" s="4"/>
      <c r="Q30" s="4"/>
      <c r="R30" s="4"/>
      <c r="S30" s="4"/>
      <c r="T30" s="4"/>
      <c r="U30" s="4"/>
      <c r="V30" s="4"/>
      <c r="W30" s="4"/>
      <c r="X30" s="4"/>
      <c r="Y30" s="4"/>
      <c r="Z30" s="4"/>
      <c r="AA30" s="4"/>
      <c r="AB30" s="4"/>
      <c r="AC30" s="4"/>
      <c r="AD30" s="4"/>
      <c r="AE30" s="4"/>
      <c r="AF30" s="122"/>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122"/>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122"/>
    </row>
    <row r="31" spans="1:118" s="1" customFormat="1" ht="30" customHeight="1" thickBot="1" x14ac:dyDescent="0.35">
      <c r="A31" s="6"/>
      <c r="B31" s="21" t="s">
        <v>63</v>
      </c>
      <c r="C31" s="16" t="s">
        <v>38</v>
      </c>
      <c r="D31" s="42">
        <v>0</v>
      </c>
      <c r="E31" s="66">
        <f>F29+1</f>
        <v>46324</v>
      </c>
      <c r="F31" s="66">
        <f t="shared" ref="F31:F42" si="48">E31</f>
        <v>46324</v>
      </c>
      <c r="G31" s="35"/>
      <c r="H31" s="35">
        <f t="shared" si="45"/>
        <v>1</v>
      </c>
      <c r="I31" s="4"/>
      <c r="J31" s="4"/>
      <c r="K31" s="4"/>
      <c r="L31" s="4"/>
      <c r="M31" s="4"/>
      <c r="N31" s="4"/>
      <c r="O31" s="4"/>
      <c r="P31" s="4"/>
      <c r="Q31" s="4"/>
      <c r="R31" s="4"/>
      <c r="S31" s="4"/>
      <c r="T31" s="4"/>
      <c r="U31" s="4"/>
      <c r="V31" s="4"/>
      <c r="W31" s="4"/>
      <c r="X31" s="4"/>
      <c r="Y31" s="4"/>
      <c r="Z31" s="4"/>
      <c r="AA31" s="4"/>
      <c r="AB31" s="4"/>
      <c r="AC31" s="4"/>
      <c r="AD31" s="4"/>
      <c r="AE31" s="4"/>
      <c r="AF31" s="122"/>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122"/>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122"/>
    </row>
    <row r="32" spans="1:118" s="1" customFormat="1" ht="30" customHeight="1" thickBot="1" x14ac:dyDescent="0.35">
      <c r="A32" s="6"/>
      <c r="B32" s="21" t="s">
        <v>64</v>
      </c>
      <c r="C32" s="16" t="s">
        <v>38</v>
      </c>
      <c r="D32" s="42">
        <v>0</v>
      </c>
      <c r="E32" s="66">
        <f>F31</f>
        <v>46324</v>
      </c>
      <c r="F32" s="66">
        <f t="shared" si="48"/>
        <v>46324</v>
      </c>
      <c r="G32" s="35"/>
      <c r="H32" s="35">
        <f t="shared" si="45"/>
        <v>1</v>
      </c>
      <c r="I32" s="4"/>
      <c r="J32" s="4"/>
      <c r="K32" s="4"/>
      <c r="L32" s="4"/>
      <c r="M32" s="4"/>
      <c r="N32" s="4"/>
      <c r="O32" s="4"/>
      <c r="P32" s="4"/>
      <c r="Q32" s="4"/>
      <c r="R32" s="4"/>
      <c r="S32" s="4"/>
      <c r="T32" s="4"/>
      <c r="U32" s="4"/>
      <c r="V32" s="4"/>
      <c r="W32" s="4"/>
      <c r="X32" s="4"/>
      <c r="Y32" s="4"/>
      <c r="Z32" s="4"/>
      <c r="AA32" s="4"/>
      <c r="AB32" s="4"/>
      <c r="AC32" s="4"/>
      <c r="AD32" s="4"/>
      <c r="AE32" s="4"/>
      <c r="AF32" s="122"/>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122"/>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122"/>
    </row>
    <row r="33" spans="1:118" s="1" customFormat="1" ht="30" customHeight="1" thickBot="1" x14ac:dyDescent="0.35">
      <c r="A33" s="6"/>
      <c r="B33" s="21" t="s">
        <v>65</v>
      </c>
      <c r="C33" s="16" t="s">
        <v>38</v>
      </c>
      <c r="D33" s="42">
        <v>0</v>
      </c>
      <c r="E33" s="66">
        <f>F32</f>
        <v>46324</v>
      </c>
      <c r="F33" s="66">
        <f t="shared" si="48"/>
        <v>46324</v>
      </c>
      <c r="G33" s="35"/>
      <c r="H33" s="35">
        <f t="shared" si="45"/>
        <v>1</v>
      </c>
      <c r="I33" s="4"/>
      <c r="J33" s="4"/>
      <c r="K33" s="4"/>
      <c r="L33" s="4"/>
      <c r="M33" s="4"/>
      <c r="N33" s="4"/>
      <c r="O33" s="4"/>
      <c r="P33" s="4"/>
      <c r="Q33" s="4"/>
      <c r="R33" s="4"/>
      <c r="S33" s="4"/>
      <c r="T33" s="4"/>
      <c r="U33" s="4"/>
      <c r="V33" s="4"/>
      <c r="W33" s="4"/>
      <c r="X33" s="4"/>
      <c r="Y33" s="4"/>
      <c r="Z33" s="4"/>
      <c r="AA33" s="4"/>
      <c r="AB33" s="4"/>
      <c r="AC33" s="4"/>
      <c r="AD33" s="4"/>
      <c r="AE33" s="4"/>
      <c r="AF33" s="122"/>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122"/>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122"/>
    </row>
    <row r="34" spans="1:118" s="1" customFormat="1" ht="30" customHeight="1" thickBot="1" x14ac:dyDescent="0.35">
      <c r="A34" s="6"/>
      <c r="B34" s="21" t="s">
        <v>66</v>
      </c>
      <c r="C34" s="16" t="s">
        <v>38</v>
      </c>
      <c r="D34" s="42">
        <v>0</v>
      </c>
      <c r="E34" s="66">
        <f>F33+1</f>
        <v>46325</v>
      </c>
      <c r="F34" s="66">
        <f t="shared" si="48"/>
        <v>46325</v>
      </c>
      <c r="G34" s="35"/>
      <c r="H34" s="35">
        <f t="shared" si="45"/>
        <v>1</v>
      </c>
      <c r="I34" s="4"/>
      <c r="J34" s="4"/>
      <c r="K34" s="4"/>
      <c r="L34" s="4"/>
      <c r="M34" s="4"/>
      <c r="N34" s="4"/>
      <c r="O34" s="4"/>
      <c r="P34" s="4"/>
      <c r="Q34" s="4"/>
      <c r="R34" s="4"/>
      <c r="S34" s="4"/>
      <c r="T34" s="4"/>
      <c r="U34" s="4"/>
      <c r="V34" s="4"/>
      <c r="W34" s="4"/>
      <c r="X34" s="4"/>
      <c r="Y34" s="4"/>
      <c r="Z34" s="4"/>
      <c r="AA34" s="4"/>
      <c r="AB34" s="4"/>
      <c r="AC34" s="4"/>
      <c r="AD34" s="4"/>
      <c r="AE34" s="4"/>
      <c r="AF34" s="122"/>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122"/>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122"/>
    </row>
    <row r="35" spans="1:118" s="1" customFormat="1" ht="30" customHeight="1" thickBot="1" x14ac:dyDescent="0.35">
      <c r="A35" s="6"/>
      <c r="B35" s="21" t="s">
        <v>67</v>
      </c>
      <c r="C35" s="16" t="s">
        <v>38</v>
      </c>
      <c r="D35" s="42">
        <v>0</v>
      </c>
      <c r="E35" s="66">
        <f>F34</f>
        <v>46325</v>
      </c>
      <c r="F35" s="66">
        <f t="shared" si="48"/>
        <v>46325</v>
      </c>
      <c r="G35" s="35"/>
      <c r="H35" s="35">
        <f t="shared" si="45"/>
        <v>1</v>
      </c>
      <c r="I35" s="4"/>
      <c r="J35" s="4"/>
      <c r="K35" s="4"/>
      <c r="L35" s="4"/>
      <c r="M35" s="4"/>
      <c r="N35" s="4"/>
      <c r="O35" s="4"/>
      <c r="P35" s="4"/>
      <c r="Q35" s="4"/>
      <c r="R35" s="4"/>
      <c r="S35" s="4"/>
      <c r="T35" s="4"/>
      <c r="U35" s="4"/>
      <c r="V35" s="4"/>
      <c r="W35" s="4"/>
      <c r="X35" s="4"/>
      <c r="Y35" s="4"/>
      <c r="Z35" s="4"/>
      <c r="AA35" s="4"/>
      <c r="AB35" s="4"/>
      <c r="AC35" s="4"/>
      <c r="AD35" s="4"/>
      <c r="AE35" s="4"/>
      <c r="AF35" s="122"/>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122"/>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122"/>
    </row>
    <row r="36" spans="1:118" s="1" customFormat="1" ht="30" customHeight="1" thickBot="1" x14ac:dyDescent="0.35">
      <c r="A36" s="6"/>
      <c r="B36" s="21" t="s">
        <v>68</v>
      </c>
      <c r="C36" s="16" t="s">
        <v>38</v>
      </c>
      <c r="D36" s="42">
        <v>0</v>
      </c>
      <c r="E36" s="66">
        <f>F35</f>
        <v>46325</v>
      </c>
      <c r="F36" s="66">
        <f t="shared" si="48"/>
        <v>46325</v>
      </c>
      <c r="G36" s="35"/>
      <c r="H36" s="35">
        <f t="shared" si="45"/>
        <v>1</v>
      </c>
      <c r="I36" s="4"/>
      <c r="J36" s="4"/>
      <c r="K36" s="4"/>
      <c r="L36" s="4"/>
      <c r="M36" s="4"/>
      <c r="N36" s="4"/>
      <c r="O36" s="4"/>
      <c r="P36" s="4"/>
      <c r="Q36" s="4"/>
      <c r="R36" s="4"/>
      <c r="S36" s="4"/>
      <c r="T36" s="4"/>
      <c r="U36" s="4"/>
      <c r="V36" s="4"/>
      <c r="W36" s="4"/>
      <c r="X36" s="4"/>
      <c r="Y36" s="4"/>
      <c r="Z36" s="4"/>
      <c r="AA36" s="4"/>
      <c r="AB36" s="4"/>
      <c r="AC36" s="4"/>
      <c r="AD36" s="4"/>
      <c r="AE36" s="4"/>
      <c r="AF36" s="122"/>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122"/>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122"/>
    </row>
    <row r="37" spans="1:118" s="1" customFormat="1" ht="30" customHeight="1" thickBot="1" x14ac:dyDescent="0.35">
      <c r="A37" s="6"/>
      <c r="B37" s="21" t="s">
        <v>69</v>
      </c>
      <c r="C37" s="16" t="s">
        <v>38</v>
      </c>
      <c r="D37" s="42">
        <v>0</v>
      </c>
      <c r="E37" s="66">
        <f>F36+3</f>
        <v>46328</v>
      </c>
      <c r="F37" s="66">
        <f t="shared" si="48"/>
        <v>46328</v>
      </c>
      <c r="G37" s="35"/>
      <c r="H37" s="35">
        <f t="shared" si="45"/>
        <v>1</v>
      </c>
      <c r="I37" s="4"/>
      <c r="J37" s="4"/>
      <c r="K37" s="4"/>
      <c r="L37" s="4"/>
      <c r="M37" s="4"/>
      <c r="N37" s="4"/>
      <c r="O37" s="4"/>
      <c r="P37" s="4"/>
      <c r="Q37" s="4"/>
      <c r="R37" s="4"/>
      <c r="S37" s="4"/>
      <c r="T37" s="4"/>
      <c r="U37" s="4"/>
      <c r="V37" s="4"/>
      <c r="W37" s="4"/>
      <c r="X37" s="4"/>
      <c r="Y37" s="4"/>
      <c r="Z37" s="4"/>
      <c r="AA37" s="4"/>
      <c r="AB37" s="4"/>
      <c r="AC37" s="4"/>
      <c r="AD37" s="4"/>
      <c r="AE37" s="4"/>
      <c r="AF37" s="122"/>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122"/>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122"/>
    </row>
    <row r="38" spans="1:118" s="1" customFormat="1" ht="30" customHeight="1" thickBot="1" x14ac:dyDescent="0.35">
      <c r="A38" s="6"/>
      <c r="B38" s="21" t="s">
        <v>70</v>
      </c>
      <c r="C38" s="16" t="s">
        <v>38</v>
      </c>
      <c r="D38" s="42">
        <v>0</v>
      </c>
      <c r="E38" s="66">
        <f>F37</f>
        <v>46328</v>
      </c>
      <c r="F38" s="66">
        <f t="shared" si="48"/>
        <v>46328</v>
      </c>
      <c r="G38" s="35"/>
      <c r="H38" s="35">
        <f t="shared" si="45"/>
        <v>1</v>
      </c>
      <c r="I38" s="4"/>
      <c r="J38" s="4"/>
      <c r="K38" s="4"/>
      <c r="L38" s="4"/>
      <c r="M38" s="4"/>
      <c r="N38" s="4"/>
      <c r="O38" s="4"/>
      <c r="P38" s="4"/>
      <c r="Q38" s="4"/>
      <c r="R38" s="4"/>
      <c r="S38" s="4"/>
      <c r="T38" s="4"/>
      <c r="U38" s="4"/>
      <c r="V38" s="4"/>
      <c r="W38" s="4"/>
      <c r="X38" s="4"/>
      <c r="Y38" s="4"/>
      <c r="Z38" s="4"/>
      <c r="AA38" s="4"/>
      <c r="AB38" s="4"/>
      <c r="AC38" s="4"/>
      <c r="AD38" s="4"/>
      <c r="AE38" s="4"/>
      <c r="AF38" s="122"/>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122"/>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122"/>
    </row>
    <row r="39" spans="1:118" s="1" customFormat="1" ht="30" customHeight="1" thickBot="1" x14ac:dyDescent="0.35">
      <c r="A39" s="6"/>
      <c r="B39" s="21" t="s">
        <v>71</v>
      </c>
      <c r="C39" s="16" t="s">
        <v>38</v>
      </c>
      <c r="D39" s="42">
        <v>0</v>
      </c>
      <c r="E39" s="66">
        <f>F38</f>
        <v>46328</v>
      </c>
      <c r="F39" s="66">
        <f t="shared" si="48"/>
        <v>46328</v>
      </c>
      <c r="G39" s="35"/>
      <c r="H39" s="35">
        <f t="shared" si="45"/>
        <v>1</v>
      </c>
      <c r="I39" s="4"/>
      <c r="J39" s="4"/>
      <c r="K39" s="4"/>
      <c r="L39" s="4"/>
      <c r="M39" s="4"/>
      <c r="N39" s="4"/>
      <c r="O39" s="4"/>
      <c r="P39" s="4"/>
      <c r="Q39" s="4"/>
      <c r="R39" s="4"/>
      <c r="S39" s="4"/>
      <c r="T39" s="4"/>
      <c r="U39" s="4"/>
      <c r="V39" s="4"/>
      <c r="W39" s="4"/>
      <c r="X39" s="4"/>
      <c r="Y39" s="4"/>
      <c r="Z39" s="4"/>
      <c r="AA39" s="4"/>
      <c r="AB39" s="4"/>
      <c r="AC39" s="4"/>
      <c r="AD39" s="4"/>
      <c r="AE39" s="4"/>
      <c r="AF39" s="122"/>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122"/>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122"/>
    </row>
    <row r="40" spans="1:118" s="1" customFormat="1" ht="30" customHeight="1" thickBot="1" x14ac:dyDescent="0.35">
      <c r="A40" s="6"/>
      <c r="B40" s="21" t="s">
        <v>72</v>
      </c>
      <c r="C40" s="16" t="s">
        <v>38</v>
      </c>
      <c r="D40" s="42">
        <v>0</v>
      </c>
      <c r="E40" s="66">
        <f>F39+1</f>
        <v>46329</v>
      </c>
      <c r="F40" s="66">
        <f t="shared" si="48"/>
        <v>46329</v>
      </c>
      <c r="G40" s="35"/>
      <c r="H40" s="35">
        <f t="shared" si="45"/>
        <v>1</v>
      </c>
      <c r="I40" s="4"/>
      <c r="J40" s="4"/>
      <c r="K40" s="4"/>
      <c r="L40" s="4"/>
      <c r="M40" s="4"/>
      <c r="N40" s="4"/>
      <c r="O40" s="4"/>
      <c r="P40" s="4"/>
      <c r="Q40" s="4"/>
      <c r="R40" s="4"/>
      <c r="S40" s="4"/>
      <c r="T40" s="4"/>
      <c r="U40" s="4"/>
      <c r="V40" s="4"/>
      <c r="W40" s="4"/>
      <c r="X40" s="4"/>
      <c r="Y40" s="4"/>
      <c r="Z40" s="4"/>
      <c r="AA40" s="4"/>
      <c r="AB40" s="4"/>
      <c r="AC40" s="4"/>
      <c r="AD40" s="4"/>
      <c r="AE40" s="4"/>
      <c r="AF40" s="122"/>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122"/>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122"/>
    </row>
    <row r="41" spans="1:118" s="1" customFormat="1" ht="30" customHeight="1" thickBot="1" x14ac:dyDescent="0.35">
      <c r="A41" s="6"/>
      <c r="B41" s="21" t="s">
        <v>73</v>
      </c>
      <c r="C41" s="16" t="s">
        <v>38</v>
      </c>
      <c r="D41" s="42">
        <v>0</v>
      </c>
      <c r="E41" s="66">
        <f>F40</f>
        <v>46329</v>
      </c>
      <c r="F41" s="66">
        <f t="shared" si="48"/>
        <v>46329</v>
      </c>
      <c r="G41" s="35"/>
      <c r="H41" s="35">
        <f t="shared" si="45"/>
        <v>1</v>
      </c>
      <c r="I41" s="4"/>
      <c r="J41" s="4"/>
      <c r="K41" s="4"/>
      <c r="L41" s="4"/>
      <c r="M41" s="4"/>
      <c r="N41" s="4"/>
      <c r="O41" s="4"/>
      <c r="P41" s="4"/>
      <c r="Q41" s="4"/>
      <c r="R41" s="4"/>
      <c r="S41" s="4"/>
      <c r="T41" s="4"/>
      <c r="U41" s="4"/>
      <c r="V41" s="4"/>
      <c r="W41" s="4"/>
      <c r="X41" s="4"/>
      <c r="Y41" s="4"/>
      <c r="Z41" s="4"/>
      <c r="AA41" s="4"/>
      <c r="AB41" s="4"/>
      <c r="AC41" s="4"/>
      <c r="AD41" s="4"/>
      <c r="AE41" s="4"/>
      <c r="AF41" s="122"/>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122"/>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122"/>
    </row>
    <row r="42" spans="1:118" s="1" customFormat="1" ht="30" customHeight="1" thickBot="1" x14ac:dyDescent="0.35">
      <c r="A42" s="6"/>
      <c r="B42" s="21" t="s">
        <v>74</v>
      </c>
      <c r="C42" s="16" t="s">
        <v>38</v>
      </c>
      <c r="D42" s="42">
        <v>0</v>
      </c>
      <c r="E42" s="66">
        <f>F41</f>
        <v>46329</v>
      </c>
      <c r="F42" s="66">
        <f t="shared" si="48"/>
        <v>46329</v>
      </c>
      <c r="G42" s="35"/>
      <c r="H42" s="35">
        <f t="shared" si="45"/>
        <v>1</v>
      </c>
      <c r="I42" s="4"/>
      <c r="J42" s="4"/>
      <c r="K42" s="4"/>
      <c r="L42" s="4"/>
      <c r="M42" s="4"/>
      <c r="N42" s="4"/>
      <c r="O42" s="4"/>
      <c r="P42" s="4"/>
      <c r="Q42" s="4"/>
      <c r="R42" s="4"/>
      <c r="S42" s="4"/>
      <c r="T42" s="4"/>
      <c r="U42" s="4"/>
      <c r="V42" s="4"/>
      <c r="W42" s="4"/>
      <c r="X42" s="4"/>
      <c r="Y42" s="4"/>
      <c r="Z42" s="4"/>
      <c r="AA42" s="4"/>
      <c r="AB42" s="4"/>
      <c r="AC42" s="4"/>
      <c r="AD42" s="4"/>
      <c r="AE42" s="4"/>
      <c r="AF42" s="122"/>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122"/>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122"/>
    </row>
    <row r="43" spans="1:118" s="1" customFormat="1" ht="30" customHeight="1" thickBot="1" x14ac:dyDescent="0.35">
      <c r="A43" s="6" t="s">
        <v>11</v>
      </c>
      <c r="B43" s="43" t="s">
        <v>75</v>
      </c>
      <c r="C43" s="17"/>
      <c r="D43" s="44"/>
      <c r="E43" s="67"/>
      <c r="F43" s="68"/>
      <c r="G43" s="35"/>
      <c r="H43" s="35" t="str">
        <f t="shared" si="45"/>
        <v/>
      </c>
      <c r="I43" s="4"/>
      <c r="J43" s="4"/>
      <c r="K43" s="4"/>
      <c r="L43" s="4"/>
      <c r="M43" s="4"/>
      <c r="N43" s="4"/>
      <c r="O43" s="4"/>
      <c r="P43" s="4"/>
      <c r="Q43" s="4"/>
      <c r="R43" s="4"/>
      <c r="S43" s="4"/>
      <c r="T43" s="4"/>
      <c r="U43" s="4"/>
      <c r="V43" s="4"/>
      <c r="W43" s="4"/>
      <c r="X43" s="4"/>
      <c r="Y43" s="4"/>
      <c r="Z43" s="4"/>
      <c r="AA43" s="4"/>
      <c r="AB43" s="4"/>
      <c r="AC43" s="4"/>
      <c r="AD43" s="4"/>
      <c r="AE43" s="4"/>
      <c r="AF43" s="122"/>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122"/>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122"/>
    </row>
    <row r="44" spans="1:118" s="1" customFormat="1" ht="30" customHeight="1" thickBot="1" x14ac:dyDescent="0.35">
      <c r="A44" s="6"/>
      <c r="B44" s="22" t="s">
        <v>76</v>
      </c>
      <c r="C44" s="18" t="s">
        <v>38</v>
      </c>
      <c r="D44" s="45">
        <v>0</v>
      </c>
      <c r="E44" s="69">
        <f>F42+1</f>
        <v>46330</v>
      </c>
      <c r="F44" s="69">
        <f t="shared" ref="F44:F52" si="49">E44</f>
        <v>46330</v>
      </c>
      <c r="G44" s="35"/>
      <c r="H44" s="35">
        <f t="shared" si="45"/>
        <v>1</v>
      </c>
      <c r="I44" s="4"/>
      <c r="J44" s="4"/>
      <c r="K44" s="4"/>
      <c r="L44" s="4"/>
      <c r="M44" s="4"/>
      <c r="N44" s="4"/>
      <c r="O44" s="4"/>
      <c r="P44" s="4"/>
      <c r="Q44" s="4"/>
      <c r="R44" s="4"/>
      <c r="S44" s="4"/>
      <c r="T44" s="4"/>
      <c r="U44" s="4"/>
      <c r="V44" s="4"/>
      <c r="W44" s="4"/>
      <c r="X44" s="4"/>
      <c r="Y44" s="4"/>
      <c r="Z44" s="4"/>
      <c r="AA44" s="4"/>
      <c r="AB44" s="4"/>
      <c r="AC44" s="4"/>
      <c r="AD44" s="4"/>
      <c r="AE44" s="4"/>
      <c r="AF44" s="122"/>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122"/>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122"/>
    </row>
    <row r="45" spans="1:118" s="1" customFormat="1" ht="30" customHeight="1" thickBot="1" x14ac:dyDescent="0.35">
      <c r="A45" s="6"/>
      <c r="B45" s="22" t="s">
        <v>77</v>
      </c>
      <c r="C45" s="18" t="s">
        <v>38</v>
      </c>
      <c r="D45" s="45">
        <v>0</v>
      </c>
      <c r="E45" s="69">
        <f>F44</f>
        <v>46330</v>
      </c>
      <c r="F45" s="69">
        <f t="shared" si="49"/>
        <v>46330</v>
      </c>
      <c r="G45" s="35"/>
      <c r="H45" s="35">
        <f t="shared" si="45"/>
        <v>1</v>
      </c>
      <c r="I45" s="4"/>
      <c r="J45" s="4"/>
      <c r="K45" s="4"/>
      <c r="L45" s="4"/>
      <c r="M45" s="4"/>
      <c r="N45" s="4"/>
      <c r="O45" s="4"/>
      <c r="P45" s="4"/>
      <c r="Q45" s="4"/>
      <c r="R45" s="4"/>
      <c r="S45" s="4"/>
      <c r="T45" s="4"/>
      <c r="U45" s="4"/>
      <c r="V45" s="4"/>
      <c r="W45" s="4"/>
      <c r="X45" s="4"/>
      <c r="Y45" s="4"/>
      <c r="Z45" s="4"/>
      <c r="AA45" s="4"/>
      <c r="AB45" s="4"/>
      <c r="AC45" s="4"/>
      <c r="AD45" s="4"/>
      <c r="AE45" s="4"/>
      <c r="AF45" s="122"/>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122"/>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122"/>
    </row>
    <row r="46" spans="1:118" s="1" customFormat="1" ht="30" customHeight="1" thickBot="1" x14ac:dyDescent="0.35">
      <c r="A46" s="6"/>
      <c r="B46" s="22" t="s">
        <v>78</v>
      </c>
      <c r="C46" s="18" t="s">
        <v>38</v>
      </c>
      <c r="D46" s="45">
        <v>0</v>
      </c>
      <c r="E46" s="69">
        <f>F45</f>
        <v>46330</v>
      </c>
      <c r="F46" s="69">
        <f t="shared" si="49"/>
        <v>46330</v>
      </c>
      <c r="G46" s="35"/>
      <c r="H46" s="35">
        <f t="shared" si="45"/>
        <v>1</v>
      </c>
      <c r="I46" s="4"/>
      <c r="J46" s="4"/>
      <c r="K46" s="4"/>
      <c r="L46" s="4"/>
      <c r="M46" s="4"/>
      <c r="N46" s="4"/>
      <c r="O46" s="4"/>
      <c r="P46" s="4"/>
      <c r="Q46" s="4"/>
      <c r="R46" s="4"/>
      <c r="S46" s="4"/>
      <c r="T46" s="4"/>
      <c r="U46" s="4"/>
      <c r="V46" s="4"/>
      <c r="W46" s="4"/>
      <c r="X46" s="4"/>
      <c r="Y46" s="4"/>
      <c r="Z46" s="4"/>
      <c r="AA46" s="4"/>
      <c r="AB46" s="4"/>
      <c r="AC46" s="4"/>
      <c r="AD46" s="4"/>
      <c r="AE46" s="4"/>
      <c r="AF46" s="122"/>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122"/>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122"/>
    </row>
    <row r="47" spans="1:118" s="1" customFormat="1" ht="30" customHeight="1" thickBot="1" x14ac:dyDescent="0.35">
      <c r="A47" s="6"/>
      <c r="B47" s="22" t="s">
        <v>79</v>
      </c>
      <c r="C47" s="18" t="s">
        <v>38</v>
      </c>
      <c r="D47" s="45">
        <v>0</v>
      </c>
      <c r="E47" s="69">
        <f>F46+1</f>
        <v>46331</v>
      </c>
      <c r="F47" s="69">
        <f t="shared" si="49"/>
        <v>46331</v>
      </c>
      <c r="G47" s="35"/>
      <c r="H47" s="35">
        <f t="shared" si="45"/>
        <v>1</v>
      </c>
      <c r="I47" s="4"/>
      <c r="J47" s="4"/>
      <c r="K47" s="4"/>
      <c r="L47" s="4"/>
      <c r="M47" s="4"/>
      <c r="N47" s="4"/>
      <c r="O47" s="4"/>
      <c r="P47" s="4"/>
      <c r="Q47" s="4"/>
      <c r="R47" s="4"/>
      <c r="S47" s="4"/>
      <c r="T47" s="4"/>
      <c r="U47" s="4"/>
      <c r="V47" s="4"/>
      <c r="W47" s="4"/>
      <c r="X47" s="4"/>
      <c r="Y47" s="4"/>
      <c r="Z47" s="4"/>
      <c r="AA47" s="4"/>
      <c r="AB47" s="4"/>
      <c r="AC47" s="4"/>
      <c r="AD47" s="4"/>
      <c r="AE47" s="4"/>
      <c r="AF47" s="122"/>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122"/>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122"/>
    </row>
    <row r="48" spans="1:118" s="1" customFormat="1" ht="30" customHeight="1" thickBot="1" x14ac:dyDescent="0.35">
      <c r="A48" s="6"/>
      <c r="B48" s="22" t="s">
        <v>80</v>
      </c>
      <c r="C48" s="18" t="s">
        <v>38</v>
      </c>
      <c r="D48" s="45">
        <v>0</v>
      </c>
      <c r="E48" s="69">
        <f>F47</f>
        <v>46331</v>
      </c>
      <c r="F48" s="69">
        <f t="shared" si="49"/>
        <v>46331</v>
      </c>
      <c r="G48" s="35"/>
      <c r="H48" s="35">
        <f t="shared" si="45"/>
        <v>1</v>
      </c>
      <c r="I48" s="4"/>
      <c r="J48" s="4"/>
      <c r="K48" s="4"/>
      <c r="L48" s="4"/>
      <c r="M48" s="4"/>
      <c r="N48" s="4"/>
      <c r="O48" s="4"/>
      <c r="P48" s="4"/>
      <c r="Q48" s="4"/>
      <c r="R48" s="4"/>
      <c r="S48" s="4"/>
      <c r="T48" s="4"/>
      <c r="U48" s="4"/>
      <c r="V48" s="4"/>
      <c r="W48" s="4"/>
      <c r="X48" s="4"/>
      <c r="Y48" s="4"/>
      <c r="Z48" s="4"/>
      <c r="AA48" s="4"/>
      <c r="AB48" s="4"/>
      <c r="AC48" s="4"/>
      <c r="AD48" s="4"/>
      <c r="AE48" s="4"/>
      <c r="AF48" s="122"/>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122"/>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122"/>
    </row>
    <row r="49" spans="1:118" s="1" customFormat="1" ht="30" customHeight="1" thickBot="1" x14ac:dyDescent="0.35">
      <c r="A49" s="6"/>
      <c r="B49" s="22" t="s">
        <v>81</v>
      </c>
      <c r="C49" s="18" t="s">
        <v>38</v>
      </c>
      <c r="D49" s="45">
        <v>0</v>
      </c>
      <c r="E49" s="69">
        <f>F48</f>
        <v>46331</v>
      </c>
      <c r="F49" s="69">
        <f t="shared" si="49"/>
        <v>46331</v>
      </c>
      <c r="G49" s="35"/>
      <c r="H49" s="35">
        <f t="shared" si="45"/>
        <v>1</v>
      </c>
      <c r="I49" s="4"/>
      <c r="J49" s="4"/>
      <c r="K49" s="4"/>
      <c r="L49" s="4"/>
      <c r="M49" s="4"/>
      <c r="N49" s="4"/>
      <c r="O49" s="4"/>
      <c r="P49" s="4"/>
      <c r="Q49" s="4"/>
      <c r="R49" s="4"/>
      <c r="S49" s="4"/>
      <c r="T49" s="4"/>
      <c r="U49" s="4"/>
      <c r="V49" s="4"/>
      <c r="W49" s="4"/>
      <c r="X49" s="4"/>
      <c r="Y49" s="4"/>
      <c r="Z49" s="4"/>
      <c r="AA49" s="4"/>
      <c r="AB49" s="4"/>
      <c r="AC49" s="4"/>
      <c r="AD49" s="4"/>
      <c r="AE49" s="4"/>
      <c r="AF49" s="122"/>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122"/>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122"/>
    </row>
    <row r="50" spans="1:118" s="1" customFormat="1" ht="30" customHeight="1" thickBot="1" x14ac:dyDescent="0.35">
      <c r="A50" s="6"/>
      <c r="B50" s="22" t="s">
        <v>82</v>
      </c>
      <c r="C50" s="18" t="s">
        <v>38</v>
      </c>
      <c r="D50" s="45">
        <v>0</v>
      </c>
      <c r="E50" s="69">
        <f>F49+1</f>
        <v>46332</v>
      </c>
      <c r="F50" s="69">
        <f t="shared" si="49"/>
        <v>46332</v>
      </c>
      <c r="G50" s="35"/>
      <c r="H50" s="35">
        <f t="shared" si="45"/>
        <v>1</v>
      </c>
      <c r="I50" s="4"/>
      <c r="J50" s="4"/>
      <c r="K50" s="4"/>
      <c r="L50" s="4"/>
      <c r="M50" s="4"/>
      <c r="N50" s="4"/>
      <c r="O50" s="4"/>
      <c r="P50" s="4"/>
      <c r="Q50" s="4"/>
      <c r="R50" s="4"/>
      <c r="S50" s="4"/>
      <c r="T50" s="4"/>
      <c r="U50" s="4"/>
      <c r="V50" s="4"/>
      <c r="W50" s="4"/>
      <c r="X50" s="4"/>
      <c r="Y50" s="4"/>
      <c r="Z50" s="4"/>
      <c r="AA50" s="4"/>
      <c r="AB50" s="4"/>
      <c r="AC50" s="4"/>
      <c r="AD50" s="4"/>
      <c r="AE50" s="4"/>
      <c r="AF50" s="122"/>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122"/>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122"/>
    </row>
    <row r="51" spans="1:118" s="1" customFormat="1" ht="30" customHeight="1" thickBot="1" x14ac:dyDescent="0.35">
      <c r="A51" s="6"/>
      <c r="B51" s="22" t="s">
        <v>83</v>
      </c>
      <c r="C51" s="18" t="s">
        <v>38</v>
      </c>
      <c r="D51" s="45">
        <v>0</v>
      </c>
      <c r="E51" s="69">
        <f>F50</f>
        <v>46332</v>
      </c>
      <c r="F51" s="69">
        <f t="shared" si="49"/>
        <v>46332</v>
      </c>
      <c r="G51" s="35"/>
      <c r="H51" s="35">
        <f t="shared" si="45"/>
        <v>1</v>
      </c>
      <c r="I51" s="4"/>
      <c r="J51" s="4"/>
      <c r="K51" s="4"/>
      <c r="L51" s="4"/>
      <c r="M51" s="4"/>
      <c r="N51" s="4"/>
      <c r="O51" s="4"/>
      <c r="P51" s="4"/>
      <c r="Q51" s="4"/>
      <c r="R51" s="4"/>
      <c r="S51" s="4"/>
      <c r="T51" s="4"/>
      <c r="U51" s="4"/>
      <c r="V51" s="4"/>
      <c r="W51" s="4"/>
      <c r="X51" s="4"/>
      <c r="Y51" s="4"/>
      <c r="Z51" s="4"/>
      <c r="AA51" s="4"/>
      <c r="AB51" s="4"/>
      <c r="AC51" s="4"/>
      <c r="AD51" s="4"/>
      <c r="AE51" s="4"/>
      <c r="AF51" s="122"/>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122"/>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122"/>
    </row>
    <row r="52" spans="1:118" s="1" customFormat="1" ht="30" customHeight="1" thickBot="1" x14ac:dyDescent="0.35">
      <c r="A52" s="6"/>
      <c r="B52" s="22" t="s">
        <v>84</v>
      </c>
      <c r="C52" s="18" t="s">
        <v>38</v>
      </c>
      <c r="D52" s="45">
        <v>0</v>
      </c>
      <c r="E52" s="69">
        <f>F51</f>
        <v>46332</v>
      </c>
      <c r="F52" s="69">
        <f t="shared" si="49"/>
        <v>46332</v>
      </c>
      <c r="G52" s="35"/>
      <c r="H52" s="35">
        <f t="shared" si="45"/>
        <v>1</v>
      </c>
      <c r="I52" s="4"/>
      <c r="J52" s="4"/>
      <c r="K52" s="4"/>
      <c r="L52" s="4"/>
      <c r="M52" s="4"/>
      <c r="N52" s="4"/>
      <c r="O52" s="4"/>
      <c r="P52" s="4"/>
      <c r="Q52" s="4"/>
      <c r="R52" s="4"/>
      <c r="S52" s="4"/>
      <c r="T52" s="4"/>
      <c r="U52" s="4"/>
      <c r="V52" s="4"/>
      <c r="W52" s="4"/>
      <c r="X52" s="4"/>
      <c r="Y52" s="4"/>
      <c r="Z52" s="4"/>
      <c r="AA52" s="4"/>
      <c r="AB52" s="4"/>
      <c r="AC52" s="4"/>
      <c r="AD52" s="4"/>
      <c r="AE52" s="4"/>
      <c r="AF52" s="122"/>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122"/>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122"/>
    </row>
    <row r="53" spans="1:118" s="1" customFormat="1" ht="30" customHeight="1" thickBot="1" x14ac:dyDescent="0.35">
      <c r="A53" s="6"/>
      <c r="B53" s="22" t="s">
        <v>85</v>
      </c>
      <c r="C53" s="18" t="s">
        <v>38</v>
      </c>
      <c r="D53" s="45">
        <v>0</v>
      </c>
      <c r="E53" s="69">
        <f>F52+3</f>
        <v>46335</v>
      </c>
      <c r="F53" s="69">
        <f>E53+1</f>
        <v>46336</v>
      </c>
      <c r="G53" s="35"/>
      <c r="H53" s="35">
        <f t="shared" si="45"/>
        <v>2</v>
      </c>
      <c r="I53" s="4"/>
      <c r="J53" s="4"/>
      <c r="K53" s="4"/>
      <c r="L53" s="4"/>
      <c r="M53" s="4"/>
      <c r="N53" s="4"/>
      <c r="O53" s="4"/>
      <c r="P53" s="4"/>
      <c r="Q53" s="4"/>
      <c r="R53" s="4"/>
      <c r="S53" s="4"/>
      <c r="T53" s="4"/>
      <c r="U53" s="4"/>
      <c r="V53" s="4"/>
      <c r="W53" s="4"/>
      <c r="X53" s="4"/>
      <c r="Y53" s="4"/>
      <c r="Z53" s="4"/>
      <c r="AA53" s="4"/>
      <c r="AB53" s="4"/>
      <c r="AC53" s="4"/>
      <c r="AD53" s="4"/>
      <c r="AE53" s="4"/>
      <c r="AF53" s="122"/>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122"/>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122"/>
    </row>
    <row r="54" spans="1:118" s="1" customFormat="1" ht="30" customHeight="1" thickBot="1" x14ac:dyDescent="0.35">
      <c r="A54" s="6"/>
      <c r="B54" s="22" t="s">
        <v>86</v>
      </c>
      <c r="C54" s="18" t="s">
        <v>38</v>
      </c>
      <c r="D54" s="45">
        <v>0</v>
      </c>
      <c r="E54" s="69">
        <f>E53</f>
        <v>46335</v>
      </c>
      <c r="F54" s="69">
        <f>E54+1</f>
        <v>46336</v>
      </c>
      <c r="G54" s="35"/>
      <c r="H54" s="35">
        <f t="shared" si="45"/>
        <v>2</v>
      </c>
      <c r="I54" s="4"/>
      <c r="J54" s="4"/>
      <c r="K54" s="4"/>
      <c r="L54" s="4"/>
      <c r="M54" s="4"/>
      <c r="N54" s="4"/>
      <c r="O54" s="4"/>
      <c r="P54" s="4"/>
      <c r="Q54" s="4"/>
      <c r="R54" s="4"/>
      <c r="S54" s="4"/>
      <c r="T54" s="4"/>
      <c r="U54" s="4"/>
      <c r="V54" s="4"/>
      <c r="W54" s="4"/>
      <c r="X54" s="4"/>
      <c r="Y54" s="4"/>
      <c r="Z54" s="4"/>
      <c r="AA54" s="4"/>
      <c r="AB54" s="4"/>
      <c r="AC54" s="4"/>
      <c r="AD54" s="4"/>
      <c r="AE54" s="4"/>
      <c r="AF54" s="122"/>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122"/>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122"/>
    </row>
    <row r="55" spans="1:118" s="1" customFormat="1" ht="30" customHeight="1" thickBot="1" x14ac:dyDescent="0.35">
      <c r="A55" s="6"/>
      <c r="B55" s="22" t="s">
        <v>87</v>
      </c>
      <c r="C55" s="18" t="s">
        <v>38</v>
      </c>
      <c r="D55" s="45">
        <v>0</v>
      </c>
      <c r="E55" s="69">
        <f>E54</f>
        <v>46335</v>
      </c>
      <c r="F55" s="69">
        <f>E55+1</f>
        <v>46336</v>
      </c>
      <c r="G55" s="35"/>
      <c r="H55" s="35">
        <f t="shared" si="45"/>
        <v>2</v>
      </c>
      <c r="I55" s="4"/>
      <c r="J55" s="4"/>
      <c r="K55" s="4"/>
      <c r="L55" s="4"/>
      <c r="M55" s="4"/>
      <c r="N55" s="4"/>
      <c r="O55" s="4"/>
      <c r="P55" s="4"/>
      <c r="Q55" s="4"/>
      <c r="R55" s="4"/>
      <c r="S55" s="4"/>
      <c r="T55" s="4"/>
      <c r="U55" s="4"/>
      <c r="V55" s="4"/>
      <c r="W55" s="4"/>
      <c r="X55" s="4"/>
      <c r="Y55" s="4"/>
      <c r="Z55" s="4"/>
      <c r="AA55" s="4"/>
      <c r="AB55" s="4"/>
      <c r="AC55" s="4"/>
      <c r="AD55" s="4"/>
      <c r="AE55" s="4"/>
      <c r="AF55" s="122"/>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122"/>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122"/>
    </row>
    <row r="56" spans="1:118" s="1" customFormat="1" ht="30" customHeight="1" thickBot="1" x14ac:dyDescent="0.35">
      <c r="A56" s="6" t="s">
        <v>11</v>
      </c>
      <c r="B56" s="90" t="s">
        <v>88</v>
      </c>
      <c r="C56" s="73"/>
      <c r="D56" s="74"/>
      <c r="E56" s="75"/>
      <c r="F56" s="75"/>
      <c r="G56" s="35"/>
      <c r="H56" s="35" t="str">
        <f t="shared" si="45"/>
        <v/>
      </c>
      <c r="I56" s="4"/>
      <c r="J56" s="4"/>
      <c r="K56" s="4"/>
      <c r="L56" s="4"/>
      <c r="M56" s="4"/>
      <c r="N56" s="4"/>
      <c r="O56" s="4"/>
      <c r="P56" s="4"/>
      <c r="Q56" s="4"/>
      <c r="R56" s="4"/>
      <c r="S56" s="4"/>
      <c r="T56" s="4"/>
      <c r="U56" s="4"/>
      <c r="V56" s="4"/>
      <c r="W56" s="4"/>
      <c r="X56" s="4"/>
      <c r="Y56" s="4"/>
      <c r="Z56" s="4"/>
      <c r="AA56" s="4"/>
      <c r="AB56" s="4"/>
      <c r="AC56" s="4"/>
      <c r="AD56" s="4"/>
      <c r="AE56" s="4"/>
      <c r="AF56" s="122"/>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122"/>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122"/>
    </row>
    <row r="57" spans="1:118" s="1" customFormat="1" ht="30" customHeight="1" thickBot="1" x14ac:dyDescent="0.35">
      <c r="A57" s="6"/>
      <c r="B57" s="76" t="s">
        <v>94</v>
      </c>
      <c r="C57" s="77" t="s">
        <v>38</v>
      </c>
      <c r="D57" s="78">
        <v>0</v>
      </c>
      <c r="E57" s="79">
        <f>F55+1</f>
        <v>46337</v>
      </c>
      <c r="F57" s="79">
        <f t="shared" ref="F57:F65" si="50">E57</f>
        <v>46337</v>
      </c>
      <c r="G57" s="35"/>
      <c r="H57" s="35">
        <f t="shared" si="45"/>
        <v>1</v>
      </c>
      <c r="I57" s="4"/>
      <c r="J57" s="4"/>
      <c r="K57" s="4"/>
      <c r="L57" s="4"/>
      <c r="M57" s="4"/>
      <c r="N57" s="4"/>
      <c r="O57" s="4"/>
      <c r="P57" s="4"/>
      <c r="Q57" s="4"/>
      <c r="R57" s="4"/>
      <c r="S57" s="4"/>
      <c r="T57" s="4"/>
      <c r="U57" s="4"/>
      <c r="V57" s="4"/>
      <c r="W57" s="4"/>
      <c r="X57" s="4"/>
      <c r="Y57" s="4"/>
      <c r="Z57" s="4"/>
      <c r="AA57" s="4"/>
      <c r="AB57" s="4"/>
      <c r="AC57" s="4"/>
      <c r="AD57" s="4"/>
      <c r="AE57" s="4"/>
      <c r="AF57" s="122"/>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122"/>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122"/>
    </row>
    <row r="58" spans="1:118" s="1" customFormat="1" ht="30" customHeight="1" thickBot="1" x14ac:dyDescent="0.35">
      <c r="A58" s="6"/>
      <c r="B58" s="76" t="s">
        <v>95</v>
      </c>
      <c r="C58" s="77" t="s">
        <v>38</v>
      </c>
      <c r="D58" s="78">
        <v>0</v>
      </c>
      <c r="E58" s="79">
        <f>F57</f>
        <v>46337</v>
      </c>
      <c r="F58" s="79">
        <f t="shared" si="50"/>
        <v>46337</v>
      </c>
      <c r="G58" s="35"/>
      <c r="H58" s="35">
        <f t="shared" si="45"/>
        <v>1</v>
      </c>
      <c r="I58" s="4"/>
      <c r="J58" s="4"/>
      <c r="K58" s="4"/>
      <c r="L58" s="4"/>
      <c r="M58" s="4"/>
      <c r="N58" s="4"/>
      <c r="O58" s="4"/>
      <c r="P58" s="4"/>
      <c r="Q58" s="4"/>
      <c r="R58" s="4"/>
      <c r="S58" s="4"/>
      <c r="T58" s="4"/>
      <c r="U58" s="4"/>
      <c r="V58" s="4"/>
      <c r="W58" s="4"/>
      <c r="X58" s="4"/>
      <c r="Y58" s="4"/>
      <c r="Z58" s="4"/>
      <c r="AA58" s="4"/>
      <c r="AB58" s="4"/>
      <c r="AC58" s="4"/>
      <c r="AD58" s="4"/>
      <c r="AE58" s="4"/>
      <c r="AF58" s="122"/>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122"/>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122"/>
    </row>
    <row r="59" spans="1:118" s="1" customFormat="1" ht="30" customHeight="1" thickBot="1" x14ac:dyDescent="0.35">
      <c r="A59" s="6"/>
      <c r="B59" s="76" t="s">
        <v>96</v>
      </c>
      <c r="C59" s="77" t="s">
        <v>38</v>
      </c>
      <c r="D59" s="78">
        <v>0</v>
      </c>
      <c r="E59" s="79">
        <f>F58</f>
        <v>46337</v>
      </c>
      <c r="F59" s="79">
        <f t="shared" si="50"/>
        <v>46337</v>
      </c>
      <c r="G59" s="35"/>
      <c r="H59" s="35">
        <f t="shared" si="45"/>
        <v>1</v>
      </c>
      <c r="I59" s="4"/>
      <c r="J59" s="4"/>
      <c r="K59" s="4"/>
      <c r="L59" s="4"/>
      <c r="M59" s="4"/>
      <c r="N59" s="4"/>
      <c r="O59" s="4"/>
      <c r="P59" s="4"/>
      <c r="Q59" s="4"/>
      <c r="R59" s="4"/>
      <c r="S59" s="4"/>
      <c r="T59" s="4"/>
      <c r="U59" s="4"/>
      <c r="V59" s="4"/>
      <c r="W59" s="4"/>
      <c r="X59" s="4"/>
      <c r="Y59" s="4"/>
      <c r="Z59" s="4"/>
      <c r="AA59" s="4"/>
      <c r="AB59" s="4"/>
      <c r="AC59" s="4"/>
      <c r="AD59" s="4"/>
      <c r="AE59" s="4"/>
      <c r="AF59" s="122"/>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122"/>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122"/>
    </row>
    <row r="60" spans="1:118" s="1" customFormat="1" ht="30" customHeight="1" thickBot="1" x14ac:dyDescent="0.35">
      <c r="A60" s="6"/>
      <c r="B60" s="76" t="s">
        <v>102</v>
      </c>
      <c r="C60" s="77" t="s">
        <v>38</v>
      </c>
      <c r="D60" s="78">
        <v>0</v>
      </c>
      <c r="E60" s="79">
        <f>F59+1</f>
        <v>46338</v>
      </c>
      <c r="F60" s="79">
        <f t="shared" si="50"/>
        <v>46338</v>
      </c>
      <c r="G60" s="35"/>
      <c r="H60" s="35">
        <f t="shared" si="45"/>
        <v>1</v>
      </c>
      <c r="I60" s="4"/>
      <c r="J60" s="4"/>
      <c r="K60" s="4"/>
      <c r="L60" s="4"/>
      <c r="M60" s="4"/>
      <c r="N60" s="4"/>
      <c r="O60" s="4"/>
      <c r="P60" s="4"/>
      <c r="Q60" s="4"/>
      <c r="R60" s="4"/>
      <c r="S60" s="4"/>
      <c r="T60" s="4"/>
      <c r="U60" s="4"/>
      <c r="V60" s="4"/>
      <c r="W60" s="4"/>
      <c r="X60" s="4"/>
      <c r="Y60" s="4"/>
      <c r="Z60" s="4"/>
      <c r="AA60" s="4"/>
      <c r="AB60" s="4"/>
      <c r="AC60" s="4"/>
      <c r="AD60" s="4"/>
      <c r="AE60" s="4"/>
      <c r="AF60" s="122"/>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122"/>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122"/>
    </row>
    <row r="61" spans="1:118" s="1" customFormat="1" ht="30" customHeight="1" thickBot="1" x14ac:dyDescent="0.35">
      <c r="A61" s="6"/>
      <c r="B61" s="76" t="s">
        <v>97</v>
      </c>
      <c r="C61" s="77" t="s">
        <v>38</v>
      </c>
      <c r="D61" s="78">
        <v>0</v>
      </c>
      <c r="E61" s="79">
        <f>F60</f>
        <v>46338</v>
      </c>
      <c r="F61" s="79">
        <f t="shared" si="50"/>
        <v>46338</v>
      </c>
      <c r="G61" s="35"/>
      <c r="H61" s="35">
        <f t="shared" si="45"/>
        <v>1</v>
      </c>
      <c r="I61" s="4"/>
      <c r="J61" s="4"/>
      <c r="K61" s="4"/>
      <c r="L61" s="4"/>
      <c r="M61" s="4"/>
      <c r="N61" s="4"/>
      <c r="O61" s="4"/>
      <c r="P61" s="4"/>
      <c r="Q61" s="4"/>
      <c r="R61" s="4"/>
      <c r="S61" s="4"/>
      <c r="T61" s="4"/>
      <c r="U61" s="4"/>
      <c r="V61" s="4"/>
      <c r="W61" s="4"/>
      <c r="X61" s="4"/>
      <c r="Y61" s="4"/>
      <c r="Z61" s="4"/>
      <c r="AA61" s="4"/>
      <c r="AB61" s="4"/>
      <c r="AC61" s="4"/>
      <c r="AD61" s="4"/>
      <c r="AE61" s="4"/>
      <c r="AF61" s="122"/>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122"/>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122"/>
    </row>
    <row r="62" spans="1:118" s="1" customFormat="1" ht="30" customHeight="1" thickBot="1" x14ac:dyDescent="0.35">
      <c r="A62" s="6"/>
      <c r="B62" s="76" t="s">
        <v>98</v>
      </c>
      <c r="C62" s="77" t="s">
        <v>38</v>
      </c>
      <c r="D62" s="78">
        <v>0</v>
      </c>
      <c r="E62" s="79">
        <f>F61</f>
        <v>46338</v>
      </c>
      <c r="F62" s="79">
        <f t="shared" si="50"/>
        <v>46338</v>
      </c>
      <c r="G62" s="35"/>
      <c r="H62" s="35">
        <f t="shared" si="45"/>
        <v>1</v>
      </c>
      <c r="I62" s="4"/>
      <c r="J62" s="4"/>
      <c r="K62" s="4"/>
      <c r="L62" s="4"/>
      <c r="M62" s="4"/>
      <c r="N62" s="4"/>
      <c r="O62" s="4"/>
      <c r="P62" s="4"/>
      <c r="Q62" s="4"/>
      <c r="R62" s="4"/>
      <c r="S62" s="4"/>
      <c r="T62" s="4"/>
      <c r="U62" s="4"/>
      <c r="V62" s="4"/>
      <c r="W62" s="4"/>
      <c r="X62" s="4"/>
      <c r="Y62" s="4"/>
      <c r="Z62" s="4"/>
      <c r="AA62" s="4"/>
      <c r="AB62" s="4"/>
      <c r="AC62" s="4"/>
      <c r="AD62" s="4"/>
      <c r="AE62" s="4"/>
      <c r="AF62" s="122"/>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122"/>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122"/>
    </row>
    <row r="63" spans="1:118" s="1" customFormat="1" ht="30" customHeight="1" thickBot="1" x14ac:dyDescent="0.35">
      <c r="A63" s="6"/>
      <c r="B63" s="76" t="s">
        <v>99</v>
      </c>
      <c r="C63" s="77" t="s">
        <v>38</v>
      </c>
      <c r="D63" s="78">
        <v>0</v>
      </c>
      <c r="E63" s="79">
        <f>F62+1</f>
        <v>46339</v>
      </c>
      <c r="F63" s="79">
        <f t="shared" si="50"/>
        <v>46339</v>
      </c>
      <c r="G63" s="35"/>
      <c r="H63" s="35">
        <f t="shared" si="45"/>
        <v>1</v>
      </c>
      <c r="I63" s="4"/>
      <c r="J63" s="4"/>
      <c r="K63" s="4"/>
      <c r="L63" s="4"/>
      <c r="M63" s="4"/>
      <c r="N63" s="4"/>
      <c r="O63" s="4"/>
      <c r="P63" s="4"/>
      <c r="Q63" s="4"/>
      <c r="R63" s="4"/>
      <c r="S63" s="4"/>
      <c r="T63" s="4"/>
      <c r="U63" s="4"/>
      <c r="V63" s="4"/>
      <c r="W63" s="4"/>
      <c r="X63" s="4"/>
      <c r="Y63" s="4"/>
      <c r="Z63" s="4"/>
      <c r="AA63" s="4"/>
      <c r="AB63" s="4"/>
      <c r="AC63" s="4"/>
      <c r="AD63" s="4"/>
      <c r="AE63" s="4"/>
      <c r="AF63" s="122"/>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122"/>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122"/>
    </row>
    <row r="64" spans="1:118" s="1" customFormat="1" ht="30" customHeight="1" thickBot="1" x14ac:dyDescent="0.35">
      <c r="A64" s="6"/>
      <c r="B64" s="76" t="s">
        <v>100</v>
      </c>
      <c r="C64" s="77" t="s">
        <v>38</v>
      </c>
      <c r="D64" s="78">
        <v>0</v>
      </c>
      <c r="E64" s="79">
        <f>F63</f>
        <v>46339</v>
      </c>
      <c r="F64" s="79">
        <f t="shared" si="50"/>
        <v>46339</v>
      </c>
      <c r="G64" s="35"/>
      <c r="H64" s="35">
        <f t="shared" si="45"/>
        <v>1</v>
      </c>
      <c r="I64" s="4"/>
      <c r="J64" s="4"/>
      <c r="K64" s="4"/>
      <c r="L64" s="4"/>
      <c r="M64" s="4"/>
      <c r="N64" s="4"/>
      <c r="O64" s="4"/>
      <c r="P64" s="4"/>
      <c r="Q64" s="4"/>
      <c r="R64" s="4"/>
      <c r="S64" s="4"/>
      <c r="T64" s="4"/>
      <c r="U64" s="4"/>
      <c r="V64" s="4"/>
      <c r="W64" s="4"/>
      <c r="X64" s="4"/>
      <c r="Y64" s="4"/>
      <c r="Z64" s="4"/>
      <c r="AA64" s="4"/>
      <c r="AB64" s="4"/>
      <c r="AC64" s="4"/>
      <c r="AD64" s="4"/>
      <c r="AE64" s="4"/>
      <c r="AF64" s="122"/>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122"/>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122"/>
    </row>
    <row r="65" spans="1:118" s="1" customFormat="1" ht="30" customHeight="1" thickBot="1" x14ac:dyDescent="0.35">
      <c r="A65" s="6"/>
      <c r="B65" s="76" t="s">
        <v>101</v>
      </c>
      <c r="C65" s="77" t="s">
        <v>38</v>
      </c>
      <c r="D65" s="78">
        <v>0</v>
      </c>
      <c r="E65" s="79">
        <f>F64</f>
        <v>46339</v>
      </c>
      <c r="F65" s="79">
        <f t="shared" si="50"/>
        <v>46339</v>
      </c>
      <c r="G65" s="35"/>
      <c r="H65" s="35">
        <f t="shared" si="45"/>
        <v>1</v>
      </c>
      <c r="I65" s="4"/>
      <c r="J65" s="4"/>
      <c r="K65" s="4"/>
      <c r="L65" s="4"/>
      <c r="M65" s="4"/>
      <c r="N65" s="4"/>
      <c r="O65" s="4"/>
      <c r="P65" s="4"/>
      <c r="Q65" s="4"/>
      <c r="R65" s="4"/>
      <c r="S65" s="4"/>
      <c r="T65" s="4"/>
      <c r="U65" s="4"/>
      <c r="V65" s="4"/>
      <c r="W65" s="4"/>
      <c r="X65" s="4"/>
      <c r="Y65" s="4"/>
      <c r="Z65" s="4"/>
      <c r="AA65" s="4"/>
      <c r="AB65" s="4"/>
      <c r="AC65" s="4"/>
      <c r="AD65" s="4"/>
      <c r="AE65" s="4"/>
      <c r="AF65" s="122"/>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122"/>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122"/>
    </row>
    <row r="66" spans="1:118" s="1" customFormat="1" ht="30" customHeight="1" thickBot="1" x14ac:dyDescent="0.35">
      <c r="A66" s="6" t="s">
        <v>11</v>
      </c>
      <c r="B66" s="91" t="s">
        <v>89</v>
      </c>
      <c r="C66" s="80"/>
      <c r="D66" s="81"/>
      <c r="E66" s="82"/>
      <c r="F66" s="82"/>
      <c r="G66" s="35"/>
      <c r="H66" s="35" t="str">
        <f t="shared" ref="H66:H78" si="51">IF(OR(ISBLANK(タスク_開始),ISBLANK(タスク_終了)),"",タスク_終了-タスク_開始+1)</f>
        <v/>
      </c>
      <c r="I66" s="4"/>
      <c r="J66" s="4"/>
      <c r="K66" s="4"/>
      <c r="L66" s="4"/>
      <c r="M66" s="4"/>
      <c r="N66" s="4"/>
      <c r="O66" s="4"/>
      <c r="P66" s="4"/>
      <c r="Q66" s="4"/>
      <c r="R66" s="4"/>
      <c r="S66" s="4"/>
      <c r="T66" s="4"/>
      <c r="U66" s="4"/>
      <c r="V66" s="4"/>
      <c r="W66" s="4"/>
      <c r="X66" s="4"/>
      <c r="Y66" s="4"/>
      <c r="Z66" s="4"/>
      <c r="AA66" s="4"/>
      <c r="AB66" s="4"/>
      <c r="AC66" s="4"/>
      <c r="AD66" s="4"/>
      <c r="AE66" s="4"/>
      <c r="AF66" s="122"/>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122"/>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122"/>
    </row>
    <row r="67" spans="1:118" s="1" customFormat="1" ht="30" customHeight="1" thickBot="1" x14ac:dyDescent="0.35">
      <c r="A67" s="6"/>
      <c r="B67" s="83" t="s">
        <v>103</v>
      </c>
      <c r="C67" s="84" t="s">
        <v>38</v>
      </c>
      <c r="D67" s="85">
        <v>0</v>
      </c>
      <c r="E67" s="86">
        <f>F65+3</f>
        <v>46342</v>
      </c>
      <c r="F67" s="86">
        <f t="shared" ref="F67:F78" si="52">E67</f>
        <v>46342</v>
      </c>
      <c r="G67" s="35"/>
      <c r="H67" s="35">
        <f t="shared" si="51"/>
        <v>1</v>
      </c>
      <c r="I67" s="4"/>
      <c r="J67" s="4"/>
      <c r="K67" s="4"/>
      <c r="L67" s="4"/>
      <c r="M67" s="4"/>
      <c r="N67" s="4"/>
      <c r="O67" s="4"/>
      <c r="P67" s="4"/>
      <c r="Q67" s="4"/>
      <c r="R67" s="4"/>
      <c r="S67" s="4"/>
      <c r="T67" s="4"/>
      <c r="U67" s="4"/>
      <c r="V67" s="4"/>
      <c r="W67" s="4"/>
      <c r="X67" s="4"/>
      <c r="Y67" s="4"/>
      <c r="Z67" s="4"/>
      <c r="AA67" s="4"/>
      <c r="AB67" s="4"/>
      <c r="AC67" s="4"/>
      <c r="AD67" s="4"/>
      <c r="AE67" s="4"/>
      <c r="AF67" s="122"/>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122"/>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122"/>
    </row>
    <row r="68" spans="1:118" s="1" customFormat="1" ht="30" customHeight="1" thickBot="1" x14ac:dyDescent="0.35">
      <c r="A68" s="6"/>
      <c r="B68" s="83" t="s">
        <v>104</v>
      </c>
      <c r="C68" s="84" t="s">
        <v>38</v>
      </c>
      <c r="D68" s="85">
        <v>0</v>
      </c>
      <c r="E68" s="86">
        <f>F67</f>
        <v>46342</v>
      </c>
      <c r="F68" s="86">
        <f t="shared" si="52"/>
        <v>46342</v>
      </c>
      <c r="G68" s="35"/>
      <c r="H68" s="35">
        <f t="shared" si="51"/>
        <v>1</v>
      </c>
      <c r="I68" s="4"/>
      <c r="J68" s="4"/>
      <c r="K68" s="4"/>
      <c r="L68" s="4"/>
      <c r="M68" s="4"/>
      <c r="N68" s="4"/>
      <c r="O68" s="4"/>
      <c r="P68" s="4"/>
      <c r="Q68" s="4"/>
      <c r="R68" s="4"/>
      <c r="S68" s="4"/>
      <c r="T68" s="4"/>
      <c r="U68" s="4"/>
      <c r="V68" s="4"/>
      <c r="W68" s="4"/>
      <c r="X68" s="4"/>
      <c r="Y68" s="4"/>
      <c r="Z68" s="4"/>
      <c r="AA68" s="4"/>
      <c r="AB68" s="4"/>
      <c r="AC68" s="4"/>
      <c r="AD68" s="4"/>
      <c r="AE68" s="4"/>
      <c r="AF68" s="122"/>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122"/>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122"/>
    </row>
    <row r="69" spans="1:118" s="1" customFormat="1" ht="30" customHeight="1" thickBot="1" x14ac:dyDescent="0.35">
      <c r="A69" s="6"/>
      <c r="B69" s="83" t="s">
        <v>105</v>
      </c>
      <c r="C69" s="84" t="s">
        <v>38</v>
      </c>
      <c r="D69" s="85">
        <v>0</v>
      </c>
      <c r="E69" s="86">
        <f>F68+1</f>
        <v>46343</v>
      </c>
      <c r="F69" s="86">
        <f>E69+1</f>
        <v>46344</v>
      </c>
      <c r="G69" s="35"/>
      <c r="H69" s="35">
        <f t="shared" si="51"/>
        <v>2</v>
      </c>
      <c r="I69" s="4"/>
      <c r="J69" s="4"/>
      <c r="K69" s="4"/>
      <c r="L69" s="4"/>
      <c r="M69" s="4"/>
      <c r="N69" s="4"/>
      <c r="O69" s="4"/>
      <c r="P69" s="4"/>
      <c r="Q69" s="4"/>
      <c r="R69" s="4"/>
      <c r="S69" s="4"/>
      <c r="T69" s="4"/>
      <c r="U69" s="4"/>
      <c r="V69" s="4"/>
      <c r="W69" s="4"/>
      <c r="X69" s="4"/>
      <c r="Y69" s="4"/>
      <c r="Z69" s="4"/>
      <c r="AA69" s="4"/>
      <c r="AB69" s="4"/>
      <c r="AC69" s="4"/>
      <c r="AD69" s="4"/>
      <c r="AE69" s="4"/>
      <c r="AF69" s="122"/>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122"/>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122"/>
    </row>
    <row r="70" spans="1:118" s="1" customFormat="1" ht="30" customHeight="1" thickBot="1" x14ac:dyDescent="0.35">
      <c r="A70" s="6"/>
      <c r="B70" s="83" t="s">
        <v>106</v>
      </c>
      <c r="C70" s="84" t="s">
        <v>38</v>
      </c>
      <c r="D70" s="85">
        <v>0</v>
      </c>
      <c r="E70" s="86">
        <f>E69</f>
        <v>46343</v>
      </c>
      <c r="F70" s="86">
        <f>E70+1</f>
        <v>46344</v>
      </c>
      <c r="G70" s="35"/>
      <c r="H70" s="35">
        <f t="shared" si="51"/>
        <v>2</v>
      </c>
      <c r="I70" s="4"/>
      <c r="J70" s="4"/>
      <c r="K70" s="4"/>
      <c r="L70" s="4"/>
      <c r="M70" s="4"/>
      <c r="N70" s="4"/>
      <c r="O70" s="4"/>
      <c r="P70" s="4"/>
      <c r="Q70" s="4"/>
      <c r="R70" s="4"/>
      <c r="S70" s="4"/>
      <c r="T70" s="4"/>
      <c r="U70" s="4"/>
      <c r="V70" s="4"/>
      <c r="W70" s="4"/>
      <c r="X70" s="4"/>
      <c r="Y70" s="4"/>
      <c r="Z70" s="4"/>
      <c r="AA70" s="4"/>
      <c r="AB70" s="4"/>
      <c r="AC70" s="4"/>
      <c r="AD70" s="4"/>
      <c r="AE70" s="4"/>
      <c r="AF70" s="122"/>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122"/>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122"/>
    </row>
    <row r="71" spans="1:118" s="1" customFormat="1" ht="30" customHeight="1" thickBot="1" x14ac:dyDescent="0.35">
      <c r="A71" s="6"/>
      <c r="B71" s="83" t="s">
        <v>107</v>
      </c>
      <c r="C71" s="84" t="s">
        <v>38</v>
      </c>
      <c r="D71" s="85">
        <v>0</v>
      </c>
      <c r="E71" s="86">
        <f>F70</f>
        <v>46344</v>
      </c>
      <c r="F71" s="86">
        <f>E71+1</f>
        <v>46345</v>
      </c>
      <c r="G71" s="35"/>
      <c r="H71" s="35">
        <f t="shared" si="51"/>
        <v>2</v>
      </c>
      <c r="I71" s="4"/>
      <c r="J71" s="4"/>
      <c r="K71" s="4"/>
      <c r="L71" s="4"/>
      <c r="M71" s="4"/>
      <c r="N71" s="4"/>
      <c r="O71" s="4"/>
      <c r="P71" s="4"/>
      <c r="Q71" s="4"/>
      <c r="R71" s="4"/>
      <c r="S71" s="4"/>
      <c r="T71" s="4"/>
      <c r="U71" s="4"/>
      <c r="V71" s="4"/>
      <c r="W71" s="4"/>
      <c r="X71" s="4"/>
      <c r="Y71" s="4"/>
      <c r="Z71" s="4"/>
      <c r="AA71" s="4"/>
      <c r="AB71" s="4"/>
      <c r="AC71" s="4"/>
      <c r="AD71" s="4"/>
      <c r="AE71" s="4"/>
      <c r="AF71" s="122"/>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122"/>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122"/>
    </row>
    <row r="72" spans="1:118" s="1" customFormat="1" ht="30" customHeight="1" thickBot="1" x14ac:dyDescent="0.35">
      <c r="A72" s="6"/>
      <c r="B72" s="83" t="s">
        <v>108</v>
      </c>
      <c r="C72" s="84" t="s">
        <v>38</v>
      </c>
      <c r="D72" s="85">
        <v>0</v>
      </c>
      <c r="E72" s="86">
        <f>E71</f>
        <v>46344</v>
      </c>
      <c r="F72" s="86">
        <f>E72+1</f>
        <v>46345</v>
      </c>
      <c r="G72" s="35"/>
      <c r="H72" s="35">
        <f t="shared" si="51"/>
        <v>2</v>
      </c>
      <c r="I72" s="4"/>
      <c r="J72" s="4"/>
      <c r="K72" s="4"/>
      <c r="L72" s="4"/>
      <c r="M72" s="4"/>
      <c r="N72" s="4"/>
      <c r="O72" s="4"/>
      <c r="P72" s="4"/>
      <c r="Q72" s="4"/>
      <c r="R72" s="4"/>
      <c r="S72" s="4"/>
      <c r="T72" s="4"/>
      <c r="U72" s="4"/>
      <c r="V72" s="4"/>
      <c r="W72" s="4"/>
      <c r="X72" s="4"/>
      <c r="Y72" s="4"/>
      <c r="Z72" s="4"/>
      <c r="AA72" s="4"/>
      <c r="AB72" s="4"/>
      <c r="AC72" s="4"/>
      <c r="AD72" s="4"/>
      <c r="AE72" s="4"/>
      <c r="AF72" s="122"/>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122"/>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122"/>
    </row>
    <row r="73" spans="1:118" s="1" customFormat="1" ht="30" customHeight="1" thickBot="1" x14ac:dyDescent="0.35">
      <c r="A73" s="6"/>
      <c r="B73" s="83" t="s">
        <v>109</v>
      </c>
      <c r="C73" s="84" t="s">
        <v>38</v>
      </c>
      <c r="D73" s="85">
        <v>0</v>
      </c>
      <c r="E73" s="86">
        <f>F72+1</f>
        <v>46346</v>
      </c>
      <c r="F73" s="86">
        <f t="shared" si="52"/>
        <v>46346</v>
      </c>
      <c r="G73" s="35"/>
      <c r="H73" s="35">
        <f t="shared" si="51"/>
        <v>1</v>
      </c>
      <c r="I73" s="4"/>
      <c r="J73" s="4"/>
      <c r="K73" s="4"/>
      <c r="L73" s="4"/>
      <c r="M73" s="4"/>
      <c r="N73" s="4"/>
      <c r="O73" s="4"/>
      <c r="P73" s="4"/>
      <c r="Q73" s="4"/>
      <c r="R73" s="4"/>
      <c r="S73" s="4"/>
      <c r="T73" s="4"/>
      <c r="U73" s="4"/>
      <c r="V73" s="4"/>
      <c r="W73" s="4"/>
      <c r="X73" s="4"/>
      <c r="Y73" s="4"/>
      <c r="Z73" s="4"/>
      <c r="AA73" s="4"/>
      <c r="AB73" s="4"/>
      <c r="AC73" s="4"/>
      <c r="AD73" s="4"/>
      <c r="AE73" s="4"/>
      <c r="AF73" s="122"/>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122"/>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122"/>
    </row>
    <row r="74" spans="1:118" s="1" customFormat="1" ht="30" customHeight="1" thickBot="1" x14ac:dyDescent="0.35">
      <c r="A74" s="6"/>
      <c r="B74" s="83" t="s">
        <v>110</v>
      </c>
      <c r="C74" s="84" t="s">
        <v>38</v>
      </c>
      <c r="D74" s="85">
        <v>0</v>
      </c>
      <c r="E74" s="86">
        <f>F73</f>
        <v>46346</v>
      </c>
      <c r="F74" s="86">
        <f t="shared" si="52"/>
        <v>46346</v>
      </c>
      <c r="G74" s="35"/>
      <c r="H74" s="35">
        <f t="shared" si="51"/>
        <v>1</v>
      </c>
      <c r="I74" s="4"/>
      <c r="J74" s="4"/>
      <c r="K74" s="4"/>
      <c r="L74" s="4"/>
      <c r="M74" s="4"/>
      <c r="N74" s="4"/>
      <c r="O74" s="4"/>
      <c r="P74" s="4"/>
      <c r="Q74" s="4"/>
      <c r="R74" s="4"/>
      <c r="S74" s="4"/>
      <c r="T74" s="4"/>
      <c r="U74" s="4"/>
      <c r="V74" s="4"/>
      <c r="W74" s="4"/>
      <c r="X74" s="4"/>
      <c r="Y74" s="4"/>
      <c r="Z74" s="4"/>
      <c r="AA74" s="4"/>
      <c r="AB74" s="4"/>
      <c r="AC74" s="4"/>
      <c r="AD74" s="4"/>
      <c r="AE74" s="4"/>
      <c r="AF74" s="122"/>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122"/>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122"/>
    </row>
    <row r="75" spans="1:118" s="1" customFormat="1" ht="30" customHeight="1" thickBot="1" x14ac:dyDescent="0.35">
      <c r="A75" s="6"/>
      <c r="B75" s="83" t="s">
        <v>111</v>
      </c>
      <c r="C75" s="84" t="s">
        <v>38</v>
      </c>
      <c r="D75" s="85">
        <v>0</v>
      </c>
      <c r="E75" s="86">
        <f>F74+3</f>
        <v>46349</v>
      </c>
      <c r="F75" s="86">
        <f t="shared" si="52"/>
        <v>46349</v>
      </c>
      <c r="G75" s="35"/>
      <c r="H75" s="35">
        <f t="shared" si="51"/>
        <v>1</v>
      </c>
      <c r="I75" s="4"/>
      <c r="J75" s="4"/>
      <c r="K75" s="4"/>
      <c r="L75" s="4"/>
      <c r="M75" s="4"/>
      <c r="N75" s="4"/>
      <c r="O75" s="4"/>
      <c r="P75" s="4"/>
      <c r="Q75" s="4"/>
      <c r="R75" s="4"/>
      <c r="S75" s="4"/>
      <c r="T75" s="4"/>
      <c r="U75" s="4"/>
      <c r="V75" s="4"/>
      <c r="W75" s="4"/>
      <c r="X75" s="4"/>
      <c r="Y75" s="4"/>
      <c r="Z75" s="4"/>
      <c r="AA75" s="4"/>
      <c r="AB75" s="4"/>
      <c r="AC75" s="4"/>
      <c r="AD75" s="4"/>
      <c r="AE75" s="4"/>
      <c r="AF75" s="122"/>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122"/>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122"/>
    </row>
    <row r="76" spans="1:118" s="1" customFormat="1" ht="30" customHeight="1" thickBot="1" x14ac:dyDescent="0.35">
      <c r="A76" s="6"/>
      <c r="B76" s="83" t="s">
        <v>112</v>
      </c>
      <c r="C76" s="84" t="s">
        <v>38</v>
      </c>
      <c r="D76" s="85">
        <v>0</v>
      </c>
      <c r="E76" s="86">
        <f>F75</f>
        <v>46349</v>
      </c>
      <c r="F76" s="86">
        <f t="shared" si="52"/>
        <v>46349</v>
      </c>
      <c r="G76" s="35"/>
      <c r="H76" s="35">
        <f t="shared" si="51"/>
        <v>1</v>
      </c>
      <c r="I76" s="4"/>
      <c r="J76" s="4"/>
      <c r="K76" s="4"/>
      <c r="L76" s="4"/>
      <c r="M76" s="4"/>
      <c r="N76" s="4"/>
      <c r="O76" s="4"/>
      <c r="P76" s="4"/>
      <c r="Q76" s="4"/>
      <c r="R76" s="4"/>
      <c r="S76" s="4"/>
      <c r="T76" s="4"/>
      <c r="U76" s="4"/>
      <c r="V76" s="4"/>
      <c r="W76" s="4"/>
      <c r="X76" s="4"/>
      <c r="Y76" s="4"/>
      <c r="Z76" s="4"/>
      <c r="AA76" s="4"/>
      <c r="AB76" s="4"/>
      <c r="AC76" s="4"/>
      <c r="AD76" s="4"/>
      <c r="AE76" s="4"/>
      <c r="AF76" s="122"/>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122"/>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122"/>
    </row>
    <row r="77" spans="1:118" s="1" customFormat="1" ht="30" customHeight="1" thickBot="1" x14ac:dyDescent="0.35">
      <c r="A77" s="6"/>
      <c r="B77" s="83" t="s">
        <v>113</v>
      </c>
      <c r="C77" s="84" t="s">
        <v>38</v>
      </c>
      <c r="D77" s="85">
        <v>0</v>
      </c>
      <c r="E77" s="86">
        <f>F76+1</f>
        <v>46350</v>
      </c>
      <c r="F77" s="86">
        <f t="shared" si="52"/>
        <v>46350</v>
      </c>
      <c r="G77" s="35"/>
      <c r="H77" s="35">
        <f t="shared" si="51"/>
        <v>1</v>
      </c>
      <c r="I77" s="4"/>
      <c r="J77" s="4"/>
      <c r="K77" s="4"/>
      <c r="L77" s="4"/>
      <c r="M77" s="4"/>
      <c r="N77" s="4"/>
      <c r="O77" s="4"/>
      <c r="P77" s="4"/>
      <c r="Q77" s="4"/>
      <c r="R77" s="4"/>
      <c r="S77" s="4"/>
      <c r="T77" s="4"/>
      <c r="U77" s="4"/>
      <c r="V77" s="4"/>
      <c r="W77" s="4"/>
      <c r="X77" s="4"/>
      <c r="Y77" s="4"/>
      <c r="Z77" s="4"/>
      <c r="AA77" s="4"/>
      <c r="AB77" s="4"/>
      <c r="AC77" s="4"/>
      <c r="AD77" s="4"/>
      <c r="AE77" s="4"/>
      <c r="AF77" s="122"/>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122"/>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122"/>
    </row>
    <row r="78" spans="1:118" s="1" customFormat="1" ht="30" customHeight="1" thickBot="1" x14ac:dyDescent="0.35">
      <c r="A78" s="6"/>
      <c r="B78" s="83" t="s">
        <v>114</v>
      </c>
      <c r="C78" s="84" t="s">
        <v>38</v>
      </c>
      <c r="D78" s="85">
        <v>0</v>
      </c>
      <c r="E78" s="86">
        <f>F77</f>
        <v>46350</v>
      </c>
      <c r="F78" s="86">
        <f t="shared" si="52"/>
        <v>46350</v>
      </c>
      <c r="G78" s="35"/>
      <c r="H78" s="35">
        <f t="shared" si="51"/>
        <v>1</v>
      </c>
      <c r="I78" s="4"/>
      <c r="J78" s="4"/>
      <c r="K78" s="4"/>
      <c r="L78" s="4"/>
      <c r="M78" s="4"/>
      <c r="N78" s="4"/>
      <c r="O78" s="4"/>
      <c r="P78" s="4"/>
      <c r="Q78" s="4"/>
      <c r="R78" s="4"/>
      <c r="S78" s="4"/>
      <c r="T78" s="4"/>
      <c r="U78" s="4"/>
      <c r="V78" s="4"/>
      <c r="W78" s="4"/>
      <c r="X78" s="4"/>
      <c r="Y78" s="4"/>
      <c r="Z78" s="4"/>
      <c r="AA78" s="4"/>
      <c r="AB78" s="4"/>
      <c r="AC78" s="4"/>
      <c r="AD78" s="4"/>
      <c r="AE78" s="4"/>
      <c r="AF78" s="122"/>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122"/>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122"/>
    </row>
    <row r="79" spans="1:118" s="1" customFormat="1" ht="30" customHeight="1" thickBot="1" x14ac:dyDescent="0.35">
      <c r="A79" s="6" t="s">
        <v>11</v>
      </c>
      <c r="B79" s="96" t="s">
        <v>90</v>
      </c>
      <c r="C79" s="87"/>
      <c r="D79" s="88"/>
      <c r="E79" s="89"/>
      <c r="F79" s="89"/>
      <c r="G79" s="35"/>
      <c r="H79" s="35" t="str">
        <f t="shared" ref="H79:H102" si="53">IF(OR(ISBLANK(タスク_開始),ISBLANK(タスク_終了)),"",タスク_終了-タスク_開始+1)</f>
        <v/>
      </c>
      <c r="I79" s="4"/>
      <c r="J79" s="4"/>
      <c r="K79" s="4"/>
      <c r="L79" s="4"/>
      <c r="M79" s="4"/>
      <c r="N79" s="4"/>
      <c r="O79" s="4"/>
      <c r="P79" s="4"/>
      <c r="Q79" s="4"/>
      <c r="R79" s="4"/>
      <c r="S79" s="4"/>
      <c r="T79" s="4"/>
      <c r="U79" s="4"/>
      <c r="V79" s="4"/>
      <c r="W79" s="4"/>
      <c r="X79" s="4"/>
      <c r="Y79" s="4"/>
      <c r="Z79" s="4"/>
      <c r="AA79" s="4"/>
      <c r="AB79" s="4"/>
      <c r="AC79" s="4"/>
      <c r="AD79" s="4"/>
      <c r="AE79" s="4"/>
      <c r="AF79" s="122"/>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122"/>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122"/>
    </row>
    <row r="80" spans="1:118" s="1" customFormat="1" ht="30" customHeight="1" thickBot="1" x14ac:dyDescent="0.35">
      <c r="A80" s="6"/>
      <c r="B80" s="92" t="s">
        <v>115</v>
      </c>
      <c r="C80" s="93" t="s">
        <v>38</v>
      </c>
      <c r="D80" s="94">
        <v>0</v>
      </c>
      <c r="E80" s="95">
        <f>F78+1</f>
        <v>46351</v>
      </c>
      <c r="F80" s="95">
        <f t="shared" ref="F80:F89" si="54">E80</f>
        <v>46351</v>
      </c>
      <c r="G80" s="35"/>
      <c r="H80" s="35">
        <f t="shared" si="53"/>
        <v>1</v>
      </c>
      <c r="I80" s="4"/>
      <c r="J80" s="4"/>
      <c r="K80" s="4"/>
      <c r="L80" s="4"/>
      <c r="M80" s="4"/>
      <c r="N80" s="4"/>
      <c r="O80" s="4"/>
      <c r="P80" s="4"/>
      <c r="Q80" s="4"/>
      <c r="R80" s="4"/>
      <c r="S80" s="4"/>
      <c r="T80" s="4"/>
      <c r="U80" s="4"/>
      <c r="V80" s="4"/>
      <c r="W80" s="4"/>
      <c r="X80" s="4"/>
      <c r="Y80" s="4"/>
      <c r="Z80" s="4"/>
      <c r="AA80" s="4"/>
      <c r="AB80" s="4"/>
      <c r="AC80" s="4"/>
      <c r="AD80" s="4"/>
      <c r="AE80" s="4"/>
      <c r="AF80" s="122"/>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122"/>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122"/>
    </row>
    <row r="81" spans="1:118" s="1" customFormat="1" ht="30" customHeight="1" thickBot="1" x14ac:dyDescent="0.35">
      <c r="A81" s="6"/>
      <c r="B81" s="92" t="s">
        <v>116</v>
      </c>
      <c r="C81" s="93" t="s">
        <v>38</v>
      </c>
      <c r="D81" s="94">
        <v>0</v>
      </c>
      <c r="E81" s="95">
        <f>F80</f>
        <v>46351</v>
      </c>
      <c r="F81" s="95">
        <f t="shared" si="54"/>
        <v>46351</v>
      </c>
      <c r="G81" s="35"/>
      <c r="H81" s="35">
        <f t="shared" si="53"/>
        <v>1</v>
      </c>
      <c r="I81" s="4"/>
      <c r="J81" s="4"/>
      <c r="K81" s="4"/>
      <c r="L81" s="4"/>
      <c r="M81" s="4"/>
      <c r="N81" s="4"/>
      <c r="O81" s="4"/>
      <c r="P81" s="4"/>
      <c r="Q81" s="4"/>
      <c r="R81" s="4"/>
      <c r="S81" s="4"/>
      <c r="T81" s="4"/>
      <c r="U81" s="4"/>
      <c r="V81" s="4"/>
      <c r="W81" s="4"/>
      <c r="X81" s="4"/>
      <c r="Y81" s="4"/>
      <c r="Z81" s="4"/>
      <c r="AA81" s="4"/>
      <c r="AB81" s="4"/>
      <c r="AC81" s="4"/>
      <c r="AD81" s="4"/>
      <c r="AE81" s="4"/>
      <c r="AF81" s="122"/>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122"/>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122"/>
    </row>
    <row r="82" spans="1:118" s="1" customFormat="1" ht="30" customHeight="1" thickBot="1" x14ac:dyDescent="0.35">
      <c r="A82" s="6"/>
      <c r="B82" s="92" t="s">
        <v>117</v>
      </c>
      <c r="C82" s="93" t="s">
        <v>38</v>
      </c>
      <c r="D82" s="94">
        <v>0</v>
      </c>
      <c r="E82" s="95">
        <f>F81+1</f>
        <v>46352</v>
      </c>
      <c r="F82" s="95">
        <f t="shared" si="54"/>
        <v>46352</v>
      </c>
      <c r="G82" s="35"/>
      <c r="H82" s="35">
        <f t="shared" si="53"/>
        <v>1</v>
      </c>
      <c r="I82" s="4"/>
      <c r="J82" s="4"/>
      <c r="K82" s="4"/>
      <c r="L82" s="4"/>
      <c r="M82" s="4"/>
      <c r="N82" s="4"/>
      <c r="O82" s="4"/>
      <c r="P82" s="4"/>
      <c r="Q82" s="4"/>
      <c r="R82" s="4"/>
      <c r="S82" s="4"/>
      <c r="T82" s="4"/>
      <c r="U82" s="4"/>
      <c r="V82" s="4"/>
      <c r="W82" s="4"/>
      <c r="X82" s="4"/>
      <c r="Y82" s="4"/>
      <c r="Z82" s="4"/>
      <c r="AA82" s="4"/>
      <c r="AB82" s="4"/>
      <c r="AC82" s="4"/>
      <c r="AD82" s="4"/>
      <c r="AE82" s="4"/>
      <c r="AF82" s="122"/>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122"/>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122"/>
    </row>
    <row r="83" spans="1:118" s="1" customFormat="1" ht="30" customHeight="1" thickBot="1" x14ac:dyDescent="0.35">
      <c r="A83" s="6"/>
      <c r="B83" s="92" t="s">
        <v>118</v>
      </c>
      <c r="C83" s="93" t="s">
        <v>38</v>
      </c>
      <c r="D83" s="94">
        <v>0</v>
      </c>
      <c r="E83" s="95">
        <f>F82</f>
        <v>46352</v>
      </c>
      <c r="F83" s="95">
        <f t="shared" si="54"/>
        <v>46352</v>
      </c>
      <c r="G83" s="35"/>
      <c r="H83" s="35">
        <f t="shared" si="53"/>
        <v>1</v>
      </c>
      <c r="I83" s="4"/>
      <c r="J83" s="4"/>
      <c r="K83" s="4"/>
      <c r="L83" s="4"/>
      <c r="M83" s="4"/>
      <c r="N83" s="4"/>
      <c r="O83" s="4"/>
      <c r="P83" s="4"/>
      <c r="Q83" s="4"/>
      <c r="R83" s="4"/>
      <c r="S83" s="4"/>
      <c r="T83" s="4"/>
      <c r="U83" s="4"/>
      <c r="V83" s="4"/>
      <c r="W83" s="4"/>
      <c r="X83" s="4"/>
      <c r="Y83" s="4"/>
      <c r="Z83" s="4"/>
      <c r="AA83" s="4"/>
      <c r="AB83" s="4"/>
      <c r="AC83" s="4"/>
      <c r="AD83" s="4"/>
      <c r="AE83" s="4"/>
      <c r="AF83" s="122"/>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122"/>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122"/>
    </row>
    <row r="84" spans="1:118" s="1" customFormat="1" ht="30" customHeight="1" thickBot="1" x14ac:dyDescent="0.35">
      <c r="A84" s="6"/>
      <c r="B84" s="92" t="s">
        <v>119</v>
      </c>
      <c r="C84" s="93" t="s">
        <v>38</v>
      </c>
      <c r="D84" s="94">
        <v>0</v>
      </c>
      <c r="E84" s="95">
        <f>F83+1</f>
        <v>46353</v>
      </c>
      <c r="F84" s="95">
        <f t="shared" si="54"/>
        <v>46353</v>
      </c>
      <c r="G84" s="35"/>
      <c r="H84" s="35">
        <f t="shared" si="53"/>
        <v>1</v>
      </c>
      <c r="I84" s="4"/>
      <c r="J84" s="4"/>
      <c r="K84" s="4"/>
      <c r="L84" s="4"/>
      <c r="M84" s="4"/>
      <c r="N84" s="4"/>
      <c r="O84" s="4"/>
      <c r="P84" s="4"/>
      <c r="Q84" s="4"/>
      <c r="R84" s="4"/>
      <c r="S84" s="4"/>
      <c r="T84" s="4"/>
      <c r="U84" s="4"/>
      <c r="V84" s="4"/>
      <c r="W84" s="4"/>
      <c r="X84" s="4"/>
      <c r="Y84" s="4"/>
      <c r="Z84" s="4"/>
      <c r="AA84" s="4"/>
      <c r="AB84" s="4"/>
      <c r="AC84" s="4"/>
      <c r="AD84" s="4"/>
      <c r="AE84" s="4"/>
      <c r="AF84" s="122"/>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122"/>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122"/>
    </row>
    <row r="85" spans="1:118" s="1" customFormat="1" ht="30" customHeight="1" thickBot="1" x14ac:dyDescent="0.35">
      <c r="A85" s="6"/>
      <c r="B85" s="92" t="s">
        <v>120</v>
      </c>
      <c r="C85" s="93" t="s">
        <v>38</v>
      </c>
      <c r="D85" s="94">
        <v>0</v>
      </c>
      <c r="E85" s="95">
        <f>F84</f>
        <v>46353</v>
      </c>
      <c r="F85" s="95">
        <f t="shared" si="54"/>
        <v>46353</v>
      </c>
      <c r="G85" s="35"/>
      <c r="H85" s="35">
        <f t="shared" si="53"/>
        <v>1</v>
      </c>
      <c r="I85" s="4"/>
      <c r="J85" s="4"/>
      <c r="K85" s="4"/>
      <c r="L85" s="4"/>
      <c r="M85" s="4"/>
      <c r="N85" s="4"/>
      <c r="O85" s="4"/>
      <c r="P85" s="4"/>
      <c r="Q85" s="4"/>
      <c r="R85" s="4"/>
      <c r="S85" s="4"/>
      <c r="T85" s="4"/>
      <c r="U85" s="4"/>
      <c r="V85" s="4"/>
      <c r="W85" s="4"/>
      <c r="X85" s="4"/>
      <c r="Y85" s="4"/>
      <c r="Z85" s="4"/>
      <c r="AA85" s="4"/>
      <c r="AB85" s="4"/>
      <c r="AC85" s="4"/>
      <c r="AD85" s="4"/>
      <c r="AE85" s="4"/>
      <c r="AF85" s="122"/>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122"/>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122"/>
    </row>
    <row r="86" spans="1:118" s="1" customFormat="1" ht="30" customHeight="1" thickBot="1" x14ac:dyDescent="0.35">
      <c r="A86" s="6"/>
      <c r="B86" s="92" t="s">
        <v>121</v>
      </c>
      <c r="C86" s="93" t="s">
        <v>38</v>
      </c>
      <c r="D86" s="94">
        <v>0</v>
      </c>
      <c r="E86" s="95">
        <f>F85+3</f>
        <v>46356</v>
      </c>
      <c r="F86" s="95">
        <f t="shared" si="54"/>
        <v>46356</v>
      </c>
      <c r="G86" s="35"/>
      <c r="H86" s="35">
        <f t="shared" si="53"/>
        <v>1</v>
      </c>
      <c r="I86" s="4"/>
      <c r="J86" s="4"/>
      <c r="K86" s="4"/>
      <c r="L86" s="4"/>
      <c r="M86" s="4"/>
      <c r="N86" s="4"/>
      <c r="O86" s="4"/>
      <c r="P86" s="4"/>
      <c r="Q86" s="4"/>
      <c r="R86" s="4"/>
      <c r="S86" s="4"/>
      <c r="T86" s="4"/>
      <c r="U86" s="4"/>
      <c r="V86" s="4"/>
      <c r="W86" s="4"/>
      <c r="X86" s="4"/>
      <c r="Y86" s="4"/>
      <c r="Z86" s="4"/>
      <c r="AA86" s="4"/>
      <c r="AB86" s="4"/>
      <c r="AC86" s="4"/>
      <c r="AD86" s="4"/>
      <c r="AE86" s="4"/>
      <c r="AF86" s="122"/>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122"/>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122"/>
    </row>
    <row r="87" spans="1:118" s="1" customFormat="1" ht="30" customHeight="1" thickBot="1" x14ac:dyDescent="0.35">
      <c r="A87" s="6"/>
      <c r="B87" s="92" t="s">
        <v>122</v>
      </c>
      <c r="C87" s="93" t="s">
        <v>38</v>
      </c>
      <c r="D87" s="94">
        <v>0</v>
      </c>
      <c r="E87" s="95">
        <f>F86</f>
        <v>46356</v>
      </c>
      <c r="F87" s="95">
        <f t="shared" si="54"/>
        <v>46356</v>
      </c>
      <c r="G87" s="35"/>
      <c r="H87" s="35">
        <f t="shared" si="53"/>
        <v>1</v>
      </c>
      <c r="I87" s="4"/>
      <c r="J87" s="4"/>
      <c r="K87" s="4"/>
      <c r="L87" s="4"/>
      <c r="M87" s="4"/>
      <c r="N87" s="4"/>
      <c r="O87" s="4"/>
      <c r="P87" s="4"/>
      <c r="Q87" s="4"/>
      <c r="R87" s="4"/>
      <c r="S87" s="4"/>
      <c r="T87" s="4"/>
      <c r="U87" s="4"/>
      <c r="V87" s="4"/>
      <c r="W87" s="4"/>
      <c r="X87" s="4"/>
      <c r="Y87" s="4"/>
      <c r="Z87" s="4"/>
      <c r="AA87" s="4"/>
      <c r="AB87" s="4"/>
      <c r="AC87" s="4"/>
      <c r="AD87" s="4"/>
      <c r="AE87" s="4"/>
      <c r="AF87" s="122"/>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122"/>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122"/>
    </row>
    <row r="88" spans="1:118" s="1" customFormat="1" ht="30" customHeight="1" thickBot="1" x14ac:dyDescent="0.35">
      <c r="A88" s="6"/>
      <c r="B88" s="92" t="s">
        <v>123</v>
      </c>
      <c r="C88" s="93" t="s">
        <v>38</v>
      </c>
      <c r="D88" s="94">
        <v>0</v>
      </c>
      <c r="E88" s="95">
        <f>F87+1</f>
        <v>46357</v>
      </c>
      <c r="F88" s="95">
        <f t="shared" si="54"/>
        <v>46357</v>
      </c>
      <c r="G88" s="35"/>
      <c r="H88" s="35">
        <f t="shared" si="53"/>
        <v>1</v>
      </c>
      <c r="I88" s="4"/>
      <c r="J88" s="4"/>
      <c r="K88" s="4"/>
      <c r="L88" s="4"/>
      <c r="M88" s="4"/>
      <c r="N88" s="4"/>
      <c r="O88" s="4"/>
      <c r="P88" s="4"/>
      <c r="Q88" s="4"/>
      <c r="R88" s="4"/>
      <c r="S88" s="4"/>
      <c r="T88" s="4"/>
      <c r="U88" s="4"/>
      <c r="V88" s="4"/>
      <c r="W88" s="4"/>
      <c r="X88" s="4"/>
      <c r="Y88" s="4"/>
      <c r="Z88" s="4"/>
      <c r="AA88" s="4"/>
      <c r="AB88" s="4"/>
      <c r="AC88" s="4"/>
      <c r="AD88" s="4"/>
      <c r="AE88" s="4"/>
      <c r="AF88" s="122"/>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122"/>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122"/>
    </row>
    <row r="89" spans="1:118" s="1" customFormat="1" ht="30" customHeight="1" thickBot="1" x14ac:dyDescent="0.35">
      <c r="A89" s="6"/>
      <c r="B89" s="92" t="s">
        <v>124</v>
      </c>
      <c r="C89" s="93" t="s">
        <v>38</v>
      </c>
      <c r="D89" s="94">
        <v>0</v>
      </c>
      <c r="E89" s="95">
        <f>F88</f>
        <v>46357</v>
      </c>
      <c r="F89" s="95">
        <f t="shared" si="54"/>
        <v>46357</v>
      </c>
      <c r="G89" s="35"/>
      <c r="H89" s="35">
        <f t="shared" si="53"/>
        <v>1</v>
      </c>
      <c r="I89" s="4"/>
      <c r="J89" s="4"/>
      <c r="K89" s="4"/>
      <c r="L89" s="4"/>
      <c r="M89" s="4"/>
      <c r="N89" s="4"/>
      <c r="O89" s="4"/>
      <c r="P89" s="4"/>
      <c r="Q89" s="4"/>
      <c r="R89" s="4"/>
      <c r="S89" s="4"/>
      <c r="T89" s="4"/>
      <c r="U89" s="4"/>
      <c r="V89" s="4"/>
      <c r="W89" s="4"/>
      <c r="X89" s="4"/>
      <c r="Y89" s="4"/>
      <c r="Z89" s="4"/>
      <c r="AA89" s="4"/>
      <c r="AB89" s="4"/>
      <c r="AC89" s="4"/>
      <c r="AD89" s="4"/>
      <c r="AE89" s="4"/>
      <c r="AF89" s="122"/>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122"/>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122"/>
    </row>
    <row r="90" spans="1:118" s="1" customFormat="1" ht="30" customHeight="1" thickBot="1" x14ac:dyDescent="0.35">
      <c r="A90" s="6" t="s">
        <v>11</v>
      </c>
      <c r="B90" s="112" t="s">
        <v>91</v>
      </c>
      <c r="C90" s="97"/>
      <c r="D90" s="98"/>
      <c r="E90" s="99"/>
      <c r="F90" s="99"/>
      <c r="G90" s="35"/>
      <c r="H90" s="35" t="str">
        <f t="shared" si="53"/>
        <v/>
      </c>
      <c r="I90" s="4"/>
      <c r="J90" s="4"/>
      <c r="K90" s="4"/>
      <c r="L90" s="4"/>
      <c r="M90" s="4"/>
      <c r="N90" s="4"/>
      <c r="O90" s="4"/>
      <c r="P90" s="4"/>
      <c r="Q90" s="4"/>
      <c r="R90" s="4"/>
      <c r="S90" s="4"/>
      <c r="T90" s="4"/>
      <c r="U90" s="4"/>
      <c r="V90" s="4"/>
      <c r="W90" s="4"/>
      <c r="X90" s="4"/>
      <c r="Y90" s="4"/>
      <c r="Z90" s="4"/>
      <c r="AA90" s="4"/>
      <c r="AB90" s="4"/>
      <c r="AC90" s="4"/>
      <c r="AD90" s="4"/>
      <c r="AE90" s="4"/>
      <c r="AF90" s="122"/>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122"/>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122"/>
    </row>
    <row r="91" spans="1:118" s="1" customFormat="1" ht="30" customHeight="1" thickBot="1" x14ac:dyDescent="0.35">
      <c r="A91" s="6"/>
      <c r="B91" s="100" t="s">
        <v>125</v>
      </c>
      <c r="C91" s="101" t="s">
        <v>38</v>
      </c>
      <c r="D91" s="102">
        <v>0</v>
      </c>
      <c r="E91" s="103">
        <f>F89+1</f>
        <v>46358</v>
      </c>
      <c r="F91" s="103">
        <f>E91</f>
        <v>46358</v>
      </c>
      <c r="G91" s="35"/>
      <c r="H91" s="35">
        <f t="shared" si="53"/>
        <v>1</v>
      </c>
      <c r="I91" s="4"/>
      <c r="J91" s="4"/>
      <c r="K91" s="4"/>
      <c r="L91" s="4"/>
      <c r="M91" s="4"/>
      <c r="N91" s="4"/>
      <c r="O91" s="4"/>
      <c r="P91" s="4"/>
      <c r="Q91" s="4"/>
      <c r="R91" s="4"/>
      <c r="S91" s="4"/>
      <c r="T91" s="4"/>
      <c r="U91" s="4"/>
      <c r="V91" s="4"/>
      <c r="W91" s="4"/>
      <c r="X91" s="4"/>
      <c r="Y91" s="4"/>
      <c r="Z91" s="4"/>
      <c r="AA91" s="4"/>
      <c r="AB91" s="4"/>
      <c r="AC91" s="4"/>
      <c r="AD91" s="4"/>
      <c r="AE91" s="4"/>
      <c r="AF91" s="122"/>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122"/>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122"/>
    </row>
    <row r="92" spans="1:118" s="1" customFormat="1" ht="30" customHeight="1" thickBot="1" x14ac:dyDescent="0.35">
      <c r="A92" s="6"/>
      <c r="B92" s="100" t="s">
        <v>126</v>
      </c>
      <c r="C92" s="101" t="s">
        <v>38</v>
      </c>
      <c r="D92" s="102">
        <v>0</v>
      </c>
      <c r="E92" s="103">
        <f>F91+1</f>
        <v>46359</v>
      </c>
      <c r="F92" s="103">
        <f>E92</f>
        <v>46359</v>
      </c>
      <c r="G92" s="35"/>
      <c r="H92" s="35">
        <f t="shared" si="53"/>
        <v>1</v>
      </c>
      <c r="I92" s="4"/>
      <c r="J92" s="4"/>
      <c r="K92" s="4"/>
      <c r="L92" s="4"/>
      <c r="M92" s="4"/>
      <c r="N92" s="4"/>
      <c r="O92" s="4"/>
      <c r="P92" s="4"/>
      <c r="Q92" s="4"/>
      <c r="R92" s="4"/>
      <c r="S92" s="4"/>
      <c r="T92" s="4"/>
      <c r="U92" s="4"/>
      <c r="V92" s="4"/>
      <c r="W92" s="4"/>
      <c r="X92" s="4"/>
      <c r="Y92" s="4"/>
      <c r="Z92" s="4"/>
      <c r="AA92" s="4"/>
      <c r="AB92" s="4"/>
      <c r="AC92" s="4"/>
      <c r="AD92" s="4"/>
      <c r="AE92" s="4"/>
      <c r="AF92" s="122"/>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122"/>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122"/>
    </row>
    <row r="93" spans="1:118" s="1" customFormat="1" ht="30" customHeight="1" thickBot="1" x14ac:dyDescent="0.35">
      <c r="A93" s="6"/>
      <c r="B93" s="100" t="s">
        <v>127</v>
      </c>
      <c r="C93" s="101" t="s">
        <v>38</v>
      </c>
      <c r="D93" s="102">
        <v>0</v>
      </c>
      <c r="E93" s="103">
        <f>F92+1</f>
        <v>46360</v>
      </c>
      <c r="F93" s="103">
        <f>E93</f>
        <v>46360</v>
      </c>
      <c r="G93" s="35"/>
      <c r="H93" s="35">
        <f t="shared" si="53"/>
        <v>1</v>
      </c>
      <c r="I93" s="4"/>
      <c r="J93" s="4"/>
      <c r="K93" s="4"/>
      <c r="L93" s="4"/>
      <c r="M93" s="4"/>
      <c r="N93" s="4"/>
      <c r="O93" s="4"/>
      <c r="P93" s="4"/>
      <c r="Q93" s="4"/>
      <c r="R93" s="4"/>
      <c r="S93" s="4"/>
      <c r="T93" s="4"/>
      <c r="U93" s="4"/>
      <c r="V93" s="4"/>
      <c r="W93" s="4"/>
      <c r="X93" s="4"/>
      <c r="Y93" s="4"/>
      <c r="Z93" s="4"/>
      <c r="AA93" s="4"/>
      <c r="AB93" s="4"/>
      <c r="AC93" s="4"/>
      <c r="AD93" s="4"/>
      <c r="AE93" s="4"/>
      <c r="AF93" s="122"/>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122"/>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122"/>
    </row>
    <row r="94" spans="1:118" s="1" customFormat="1" ht="30" customHeight="1" thickBot="1" x14ac:dyDescent="0.35">
      <c r="A94" s="6"/>
      <c r="B94" s="100" t="s">
        <v>128</v>
      </c>
      <c r="C94" s="101" t="s">
        <v>38</v>
      </c>
      <c r="D94" s="102">
        <v>0</v>
      </c>
      <c r="E94" s="103">
        <f>F93+3</f>
        <v>46363</v>
      </c>
      <c r="F94" s="103">
        <f>E94</f>
        <v>46363</v>
      </c>
      <c r="G94" s="35"/>
      <c r="H94" s="35">
        <f t="shared" si="53"/>
        <v>1</v>
      </c>
      <c r="I94" s="4"/>
      <c r="J94" s="4"/>
      <c r="K94" s="4"/>
      <c r="L94" s="4"/>
      <c r="M94" s="4"/>
      <c r="N94" s="4"/>
      <c r="O94" s="4"/>
      <c r="P94" s="4"/>
      <c r="Q94" s="4"/>
      <c r="R94" s="4"/>
      <c r="S94" s="4"/>
      <c r="T94" s="4"/>
      <c r="U94" s="4"/>
      <c r="V94" s="4"/>
      <c r="W94" s="4"/>
      <c r="X94" s="4"/>
      <c r="Y94" s="4"/>
      <c r="Z94" s="4"/>
      <c r="AA94" s="4"/>
      <c r="AB94" s="4"/>
      <c r="AC94" s="4"/>
      <c r="AD94" s="4"/>
      <c r="AE94" s="4"/>
      <c r="AF94" s="122"/>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122"/>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122"/>
    </row>
    <row r="95" spans="1:118" s="1" customFormat="1" ht="30" customHeight="1" thickBot="1" x14ac:dyDescent="0.35">
      <c r="A95" s="6"/>
      <c r="B95" s="100" t="s">
        <v>129</v>
      </c>
      <c r="C95" s="101" t="s">
        <v>38</v>
      </c>
      <c r="D95" s="102">
        <v>0</v>
      </c>
      <c r="E95" s="103">
        <f>F94+1</f>
        <v>46364</v>
      </c>
      <c r="F95" s="103">
        <f>E95+1</f>
        <v>46365</v>
      </c>
      <c r="G95" s="35"/>
      <c r="H95" s="35">
        <f t="shared" si="53"/>
        <v>2</v>
      </c>
      <c r="I95" s="4"/>
      <c r="J95" s="4"/>
      <c r="K95" s="4"/>
      <c r="L95" s="4"/>
      <c r="M95" s="4"/>
      <c r="N95" s="4"/>
      <c r="O95" s="4"/>
      <c r="P95" s="4"/>
      <c r="Q95" s="4"/>
      <c r="R95" s="4"/>
      <c r="S95" s="4"/>
      <c r="T95" s="4"/>
      <c r="U95" s="4"/>
      <c r="V95" s="4"/>
      <c r="W95" s="4"/>
      <c r="X95" s="4"/>
      <c r="Y95" s="4"/>
      <c r="Z95" s="4"/>
      <c r="AA95" s="4"/>
      <c r="AB95" s="4"/>
      <c r="AC95" s="4"/>
      <c r="AD95" s="4"/>
      <c r="AE95" s="4"/>
      <c r="AF95" s="122"/>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122"/>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122"/>
    </row>
    <row r="96" spans="1:118" s="1" customFormat="1" ht="30" customHeight="1" thickBot="1" x14ac:dyDescent="0.35">
      <c r="A96" s="6"/>
      <c r="B96" s="100" t="s">
        <v>130</v>
      </c>
      <c r="C96" s="101" t="s">
        <v>38</v>
      </c>
      <c r="D96" s="102">
        <v>0</v>
      </c>
      <c r="E96" s="103">
        <f>E95</f>
        <v>46364</v>
      </c>
      <c r="F96" s="103">
        <f>E96+1</f>
        <v>46365</v>
      </c>
      <c r="G96" s="35"/>
      <c r="H96" s="35">
        <f t="shared" si="53"/>
        <v>2</v>
      </c>
      <c r="I96" s="4"/>
      <c r="J96" s="4"/>
      <c r="K96" s="4"/>
      <c r="L96" s="4"/>
      <c r="M96" s="4"/>
      <c r="N96" s="4"/>
      <c r="O96" s="4"/>
      <c r="P96" s="4"/>
      <c r="Q96" s="4"/>
      <c r="R96" s="4"/>
      <c r="S96" s="4"/>
      <c r="T96" s="4"/>
      <c r="U96" s="4"/>
      <c r="V96" s="4"/>
      <c r="W96" s="4"/>
      <c r="X96" s="4"/>
      <c r="Y96" s="4"/>
      <c r="Z96" s="4"/>
      <c r="AA96" s="4"/>
      <c r="AB96" s="4"/>
      <c r="AC96" s="4"/>
      <c r="AD96" s="4"/>
      <c r="AE96" s="4"/>
      <c r="AF96" s="122"/>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122"/>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122"/>
    </row>
    <row r="97" spans="1:118" s="1" customFormat="1" ht="30" customHeight="1" thickBot="1" x14ac:dyDescent="0.35">
      <c r="A97" s="6"/>
      <c r="B97" s="100" t="s">
        <v>131</v>
      </c>
      <c r="C97" s="101" t="s">
        <v>38</v>
      </c>
      <c r="D97" s="102">
        <v>0</v>
      </c>
      <c r="E97" s="103">
        <f>E96</f>
        <v>46364</v>
      </c>
      <c r="F97" s="103">
        <f>E97+1</f>
        <v>46365</v>
      </c>
      <c r="G97" s="35"/>
      <c r="H97" s="35">
        <f t="shared" si="53"/>
        <v>2</v>
      </c>
      <c r="I97" s="4"/>
      <c r="J97" s="4"/>
      <c r="K97" s="4"/>
      <c r="L97" s="4"/>
      <c r="M97" s="4"/>
      <c r="N97" s="4"/>
      <c r="O97" s="4"/>
      <c r="P97" s="4"/>
      <c r="Q97" s="4"/>
      <c r="R97" s="4"/>
      <c r="S97" s="4"/>
      <c r="T97" s="4"/>
      <c r="U97" s="4"/>
      <c r="V97" s="4"/>
      <c r="W97" s="4"/>
      <c r="X97" s="4"/>
      <c r="Y97" s="4"/>
      <c r="Z97" s="4"/>
      <c r="AA97" s="4"/>
      <c r="AB97" s="4"/>
      <c r="AC97" s="4"/>
      <c r="AD97" s="4"/>
      <c r="AE97" s="4"/>
      <c r="AF97" s="122"/>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122"/>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122"/>
    </row>
    <row r="98" spans="1:118" s="1" customFormat="1" ht="30" customHeight="1" thickBot="1" x14ac:dyDescent="0.35">
      <c r="A98" s="6"/>
      <c r="B98" s="100" t="s">
        <v>132</v>
      </c>
      <c r="C98" s="101" t="s">
        <v>38</v>
      </c>
      <c r="D98" s="102">
        <v>0</v>
      </c>
      <c r="E98" s="103">
        <f>F97+1</f>
        <v>46366</v>
      </c>
      <c r="F98" s="103">
        <f>E98</f>
        <v>46366</v>
      </c>
      <c r="G98" s="35"/>
      <c r="H98" s="35">
        <f t="shared" si="53"/>
        <v>1</v>
      </c>
      <c r="I98" s="4"/>
      <c r="J98" s="4"/>
      <c r="K98" s="4"/>
      <c r="L98" s="4"/>
      <c r="M98" s="4"/>
      <c r="N98" s="4"/>
      <c r="O98" s="4"/>
      <c r="P98" s="4"/>
      <c r="Q98" s="4"/>
      <c r="R98" s="4"/>
      <c r="S98" s="4"/>
      <c r="T98" s="4"/>
      <c r="U98" s="4"/>
      <c r="V98" s="4"/>
      <c r="W98" s="4"/>
      <c r="X98" s="4"/>
      <c r="Y98" s="4"/>
      <c r="Z98" s="4"/>
      <c r="AA98" s="4"/>
      <c r="AB98" s="4"/>
      <c r="AC98" s="4"/>
      <c r="AD98" s="4"/>
      <c r="AE98" s="4"/>
      <c r="AF98" s="122"/>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122"/>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122"/>
    </row>
    <row r="99" spans="1:118" s="1" customFormat="1" ht="30" customHeight="1" thickBot="1" x14ac:dyDescent="0.35">
      <c r="A99" s="6"/>
      <c r="B99" s="100" t="s">
        <v>133</v>
      </c>
      <c r="C99" s="101" t="s">
        <v>38</v>
      </c>
      <c r="D99" s="102">
        <v>0</v>
      </c>
      <c r="E99" s="103">
        <f>F98+1</f>
        <v>46367</v>
      </c>
      <c r="F99" s="103">
        <f>E99</f>
        <v>46367</v>
      </c>
      <c r="G99" s="35"/>
      <c r="H99" s="35">
        <f t="shared" si="53"/>
        <v>1</v>
      </c>
      <c r="I99" s="4"/>
      <c r="J99" s="4"/>
      <c r="K99" s="4"/>
      <c r="L99" s="4"/>
      <c r="M99" s="4"/>
      <c r="N99" s="4"/>
      <c r="O99" s="4"/>
      <c r="P99" s="4"/>
      <c r="Q99" s="4"/>
      <c r="R99" s="4"/>
      <c r="S99" s="4"/>
      <c r="T99" s="4"/>
      <c r="U99" s="4"/>
      <c r="V99" s="4"/>
      <c r="W99" s="4"/>
      <c r="X99" s="4"/>
      <c r="Y99" s="4"/>
      <c r="Z99" s="4"/>
      <c r="AA99" s="4"/>
      <c r="AB99" s="4"/>
      <c r="AC99" s="4"/>
      <c r="AD99" s="4"/>
      <c r="AE99" s="4"/>
      <c r="AF99" s="122"/>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122"/>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122"/>
    </row>
    <row r="100" spans="1:118" s="1" customFormat="1" ht="30" customHeight="1" thickBot="1" x14ac:dyDescent="0.35">
      <c r="A100" s="6"/>
      <c r="B100" s="100" t="s">
        <v>134</v>
      </c>
      <c r="C100" s="101" t="s">
        <v>38</v>
      </c>
      <c r="D100" s="102">
        <v>0</v>
      </c>
      <c r="E100" s="103">
        <f>F99+3</f>
        <v>46370</v>
      </c>
      <c r="F100" s="103">
        <f>E100+1</f>
        <v>46371</v>
      </c>
      <c r="G100" s="35"/>
      <c r="H100" s="35">
        <f t="shared" si="53"/>
        <v>2</v>
      </c>
      <c r="I100" s="4"/>
      <c r="J100" s="4"/>
      <c r="K100" s="4"/>
      <c r="L100" s="4"/>
      <c r="M100" s="4"/>
      <c r="N100" s="4"/>
      <c r="O100" s="4"/>
      <c r="P100" s="4"/>
      <c r="Q100" s="4"/>
      <c r="R100" s="4"/>
      <c r="S100" s="4"/>
      <c r="T100" s="4"/>
      <c r="U100" s="4"/>
      <c r="V100" s="4"/>
      <c r="W100" s="4"/>
      <c r="X100" s="4"/>
      <c r="Y100" s="4"/>
      <c r="Z100" s="4"/>
      <c r="AA100" s="4"/>
      <c r="AB100" s="4"/>
      <c r="AC100" s="4"/>
      <c r="AD100" s="4"/>
      <c r="AE100" s="4"/>
      <c r="AF100" s="122"/>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122"/>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122"/>
    </row>
    <row r="101" spans="1:118" s="1" customFormat="1" ht="30" customHeight="1" thickBot="1" x14ac:dyDescent="0.35">
      <c r="A101" s="6"/>
      <c r="B101" s="100" t="s">
        <v>135</v>
      </c>
      <c r="C101" s="101" t="s">
        <v>38</v>
      </c>
      <c r="D101" s="102">
        <v>0</v>
      </c>
      <c r="E101" s="103">
        <f>E100</f>
        <v>46370</v>
      </c>
      <c r="F101" s="103">
        <f>E101+1</f>
        <v>46371</v>
      </c>
      <c r="G101" s="35"/>
      <c r="H101" s="35">
        <f t="shared" si="53"/>
        <v>2</v>
      </c>
      <c r="I101" s="4"/>
      <c r="J101" s="4"/>
      <c r="K101" s="4"/>
      <c r="L101" s="4"/>
      <c r="M101" s="4"/>
      <c r="N101" s="4"/>
      <c r="O101" s="4"/>
      <c r="P101" s="4"/>
      <c r="Q101" s="4"/>
      <c r="R101" s="4"/>
      <c r="S101" s="4"/>
      <c r="T101" s="4"/>
      <c r="U101" s="4"/>
      <c r="V101" s="4"/>
      <c r="W101" s="4"/>
      <c r="X101" s="4"/>
      <c r="Y101" s="4"/>
      <c r="Z101" s="4"/>
      <c r="AA101" s="4"/>
      <c r="AB101" s="4"/>
      <c r="AC101" s="4"/>
      <c r="AD101" s="4"/>
      <c r="AE101" s="4"/>
      <c r="AF101" s="122"/>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122"/>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122"/>
    </row>
    <row r="102" spans="1:118" s="1" customFormat="1" ht="30" customHeight="1" thickBot="1" x14ac:dyDescent="0.35">
      <c r="A102" s="6"/>
      <c r="B102" s="100" t="s">
        <v>136</v>
      </c>
      <c r="C102" s="101" t="s">
        <v>38</v>
      </c>
      <c r="D102" s="102">
        <v>0</v>
      </c>
      <c r="E102" s="103">
        <f>E101</f>
        <v>46370</v>
      </c>
      <c r="F102" s="103">
        <f>E102+1</f>
        <v>46371</v>
      </c>
      <c r="G102" s="35"/>
      <c r="H102" s="35">
        <f t="shared" si="53"/>
        <v>2</v>
      </c>
      <c r="I102" s="4"/>
      <c r="J102" s="4"/>
      <c r="K102" s="4"/>
      <c r="L102" s="4"/>
      <c r="M102" s="4"/>
      <c r="N102" s="4"/>
      <c r="O102" s="4"/>
      <c r="P102" s="4"/>
      <c r="Q102" s="4"/>
      <c r="R102" s="4"/>
      <c r="S102" s="4"/>
      <c r="T102" s="4"/>
      <c r="U102" s="4"/>
      <c r="V102" s="4"/>
      <c r="W102" s="4"/>
      <c r="X102" s="4"/>
      <c r="Y102" s="4"/>
      <c r="Z102" s="4"/>
      <c r="AA102" s="4"/>
      <c r="AB102" s="4"/>
      <c r="AC102" s="4"/>
      <c r="AD102" s="4"/>
      <c r="AE102" s="4"/>
      <c r="AF102" s="122"/>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122"/>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122"/>
    </row>
    <row r="103" spans="1:118" s="1" customFormat="1" ht="30" customHeight="1" thickBot="1" x14ac:dyDescent="0.35">
      <c r="A103" s="6" t="s">
        <v>11</v>
      </c>
      <c r="B103" s="111" t="s">
        <v>92</v>
      </c>
      <c r="C103" s="104"/>
      <c r="D103" s="105"/>
      <c r="E103" s="106"/>
      <c r="F103" s="106"/>
      <c r="G103" s="35"/>
      <c r="H103" s="35" t="str">
        <f t="shared" ref="H103:H131" si="55">IF(OR(ISBLANK(タスク_開始),ISBLANK(タスク_終了)),"",タスク_終了-タスク_開始+1)</f>
        <v/>
      </c>
      <c r="I103" s="4"/>
      <c r="J103" s="4"/>
      <c r="K103" s="4"/>
      <c r="L103" s="4"/>
      <c r="M103" s="4"/>
      <c r="N103" s="4"/>
      <c r="O103" s="4"/>
      <c r="P103" s="4"/>
      <c r="Q103" s="4"/>
      <c r="R103" s="4"/>
      <c r="S103" s="4"/>
      <c r="T103" s="4"/>
      <c r="U103" s="4"/>
      <c r="V103" s="4"/>
      <c r="W103" s="4"/>
      <c r="X103" s="4"/>
      <c r="Y103" s="4"/>
      <c r="Z103" s="4"/>
      <c r="AA103" s="4"/>
      <c r="AB103" s="4"/>
      <c r="AC103" s="4"/>
      <c r="AD103" s="4"/>
      <c r="AE103" s="4"/>
      <c r="AF103" s="122"/>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122"/>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122"/>
    </row>
    <row r="104" spans="1:118" s="1" customFormat="1" ht="30" customHeight="1" thickBot="1" x14ac:dyDescent="0.35">
      <c r="A104" s="6"/>
      <c r="B104" s="107" t="s">
        <v>137</v>
      </c>
      <c r="C104" s="108" t="s">
        <v>38</v>
      </c>
      <c r="D104" s="109">
        <v>0</v>
      </c>
      <c r="E104" s="110">
        <f>F102+1</f>
        <v>46372</v>
      </c>
      <c r="F104" s="110">
        <f>E104+2</f>
        <v>46374</v>
      </c>
      <c r="G104" s="35"/>
      <c r="H104" s="35">
        <f t="shared" si="55"/>
        <v>3</v>
      </c>
      <c r="I104" s="4"/>
      <c r="J104" s="4"/>
      <c r="K104" s="4"/>
      <c r="L104" s="4"/>
      <c r="M104" s="4"/>
      <c r="N104" s="4"/>
      <c r="O104" s="4"/>
      <c r="P104" s="4"/>
      <c r="Q104" s="4"/>
      <c r="R104" s="4"/>
      <c r="S104" s="4"/>
      <c r="T104" s="4"/>
      <c r="U104" s="4"/>
      <c r="V104" s="4"/>
      <c r="W104" s="4"/>
      <c r="X104" s="4"/>
      <c r="Y104" s="4"/>
      <c r="Z104" s="4"/>
      <c r="AA104" s="4"/>
      <c r="AB104" s="4"/>
      <c r="AC104" s="4"/>
      <c r="AD104" s="4"/>
      <c r="AE104" s="4"/>
      <c r="AF104" s="122"/>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122"/>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122"/>
    </row>
    <row r="105" spans="1:118" s="1" customFormat="1" ht="30" customHeight="1" thickBot="1" x14ac:dyDescent="0.35">
      <c r="A105" s="6"/>
      <c r="B105" s="107" t="s">
        <v>138</v>
      </c>
      <c r="C105" s="108" t="s">
        <v>38</v>
      </c>
      <c r="D105" s="109">
        <v>0</v>
      </c>
      <c r="E105" s="110">
        <f>F104+3</f>
        <v>46377</v>
      </c>
      <c r="F105" s="110">
        <f>E105+1</f>
        <v>46378</v>
      </c>
      <c r="G105" s="35"/>
      <c r="H105" s="35">
        <f t="shared" si="55"/>
        <v>2</v>
      </c>
      <c r="I105" s="4"/>
      <c r="J105" s="4"/>
      <c r="K105" s="4"/>
      <c r="L105" s="4"/>
      <c r="M105" s="4"/>
      <c r="N105" s="4"/>
      <c r="O105" s="4"/>
      <c r="P105" s="4"/>
      <c r="Q105" s="4"/>
      <c r="R105" s="4"/>
      <c r="S105" s="4"/>
      <c r="T105" s="4"/>
      <c r="U105" s="4"/>
      <c r="V105" s="4"/>
      <c r="W105" s="4"/>
      <c r="X105" s="4"/>
      <c r="Y105" s="4"/>
      <c r="Z105" s="4"/>
      <c r="AA105" s="4"/>
      <c r="AB105" s="4"/>
      <c r="AC105" s="4"/>
      <c r="AD105" s="4"/>
      <c r="AE105" s="4"/>
      <c r="AF105" s="122"/>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122"/>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122"/>
    </row>
    <row r="106" spans="1:118" s="1" customFormat="1" ht="30" customHeight="1" thickBot="1" x14ac:dyDescent="0.35">
      <c r="A106" s="6"/>
      <c r="B106" s="107" t="s">
        <v>139</v>
      </c>
      <c r="C106" s="108" t="s">
        <v>38</v>
      </c>
      <c r="D106" s="109">
        <v>0</v>
      </c>
      <c r="E106" s="110">
        <f>F105+1</f>
        <v>46379</v>
      </c>
      <c r="F106" s="110">
        <f>E106+1</f>
        <v>46380</v>
      </c>
      <c r="G106" s="35"/>
      <c r="H106" s="35">
        <f t="shared" si="55"/>
        <v>2</v>
      </c>
      <c r="I106" s="4"/>
      <c r="J106" s="4"/>
      <c r="K106" s="4"/>
      <c r="L106" s="4"/>
      <c r="M106" s="4"/>
      <c r="N106" s="4"/>
      <c r="O106" s="4"/>
      <c r="P106" s="4"/>
      <c r="Q106" s="4"/>
      <c r="R106" s="4"/>
      <c r="S106" s="4"/>
      <c r="T106" s="4"/>
      <c r="U106" s="4"/>
      <c r="V106" s="4"/>
      <c r="W106" s="4"/>
      <c r="X106" s="4"/>
      <c r="Y106" s="4"/>
      <c r="Z106" s="4"/>
      <c r="AA106" s="4"/>
      <c r="AB106" s="4"/>
      <c r="AC106" s="4"/>
      <c r="AD106" s="4"/>
      <c r="AE106" s="4"/>
      <c r="AF106" s="122"/>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122"/>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122"/>
    </row>
    <row r="107" spans="1:118" s="1" customFormat="1" ht="30" customHeight="1" thickBot="1" x14ac:dyDescent="0.35">
      <c r="A107" s="6"/>
      <c r="B107" s="107" t="s">
        <v>140</v>
      </c>
      <c r="C107" s="108" t="s">
        <v>38</v>
      </c>
      <c r="D107" s="109">
        <v>0</v>
      </c>
      <c r="E107" s="110">
        <f>F106+1</f>
        <v>46381</v>
      </c>
      <c r="F107" s="110">
        <f t="shared" ref="F107:F113" si="56">E107</f>
        <v>46381</v>
      </c>
      <c r="G107" s="35"/>
      <c r="H107" s="35">
        <f t="shared" si="55"/>
        <v>1</v>
      </c>
      <c r="I107" s="4"/>
      <c r="J107" s="4"/>
      <c r="K107" s="4"/>
      <c r="L107" s="4"/>
      <c r="M107" s="4"/>
      <c r="N107" s="4"/>
      <c r="O107" s="4"/>
      <c r="P107" s="4"/>
      <c r="Q107" s="4"/>
      <c r="R107" s="4"/>
      <c r="S107" s="4"/>
      <c r="T107" s="4"/>
      <c r="U107" s="4"/>
      <c r="V107" s="4"/>
      <c r="W107" s="4"/>
      <c r="X107" s="4"/>
      <c r="Y107" s="4"/>
      <c r="Z107" s="4"/>
      <c r="AA107" s="4"/>
      <c r="AB107" s="4"/>
      <c r="AC107" s="4"/>
      <c r="AD107" s="4"/>
      <c r="AE107" s="4"/>
      <c r="AF107" s="122"/>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122"/>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122"/>
    </row>
    <row r="108" spans="1:118" s="1" customFormat="1" ht="30" customHeight="1" thickBot="1" x14ac:dyDescent="0.35">
      <c r="A108" s="6"/>
      <c r="B108" s="107" t="s">
        <v>141</v>
      </c>
      <c r="C108" s="108" t="s">
        <v>38</v>
      </c>
      <c r="D108" s="109">
        <v>0</v>
      </c>
      <c r="E108" s="110">
        <f>F107+3</f>
        <v>46384</v>
      </c>
      <c r="F108" s="110">
        <f t="shared" si="56"/>
        <v>46384</v>
      </c>
      <c r="G108" s="35"/>
      <c r="H108" s="35">
        <f t="shared" si="55"/>
        <v>1</v>
      </c>
      <c r="I108" s="4"/>
      <c r="J108" s="4"/>
      <c r="K108" s="4"/>
      <c r="L108" s="4"/>
      <c r="M108" s="4"/>
      <c r="N108" s="4"/>
      <c r="O108" s="4"/>
      <c r="P108" s="4"/>
      <c r="Q108" s="4"/>
      <c r="R108" s="4"/>
      <c r="S108" s="4"/>
      <c r="T108" s="4"/>
      <c r="U108" s="4"/>
      <c r="V108" s="4"/>
      <c r="W108" s="4"/>
      <c r="X108" s="4"/>
      <c r="Y108" s="4"/>
      <c r="Z108" s="4"/>
      <c r="AA108" s="4"/>
      <c r="AB108" s="4"/>
      <c r="AC108" s="4"/>
      <c r="AD108" s="4"/>
      <c r="AE108" s="4"/>
      <c r="AF108" s="122"/>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122"/>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122"/>
    </row>
    <row r="109" spans="1:118" s="1" customFormat="1" ht="30" customHeight="1" thickBot="1" x14ac:dyDescent="0.35">
      <c r="A109" s="6"/>
      <c r="B109" s="107" t="s">
        <v>142</v>
      </c>
      <c r="C109" s="108" t="s">
        <v>38</v>
      </c>
      <c r="D109" s="109">
        <v>0</v>
      </c>
      <c r="E109" s="110">
        <f>F108+1</f>
        <v>46385</v>
      </c>
      <c r="F109" s="110">
        <f t="shared" si="56"/>
        <v>46385</v>
      </c>
      <c r="G109" s="35"/>
      <c r="H109" s="35">
        <f t="shared" si="55"/>
        <v>1</v>
      </c>
      <c r="I109" s="4"/>
      <c r="J109" s="4"/>
      <c r="K109" s="4"/>
      <c r="L109" s="4"/>
      <c r="M109" s="4"/>
      <c r="N109" s="4"/>
      <c r="O109" s="4"/>
      <c r="P109" s="4"/>
      <c r="Q109" s="4"/>
      <c r="R109" s="4"/>
      <c r="S109" s="4"/>
      <c r="T109" s="4"/>
      <c r="U109" s="4"/>
      <c r="V109" s="4"/>
      <c r="W109" s="4"/>
      <c r="X109" s="4"/>
      <c r="Y109" s="4"/>
      <c r="Z109" s="4"/>
      <c r="AA109" s="4"/>
      <c r="AB109" s="4"/>
      <c r="AC109" s="4"/>
      <c r="AD109" s="4"/>
      <c r="AE109" s="4"/>
      <c r="AF109" s="122"/>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122"/>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122"/>
    </row>
    <row r="110" spans="1:118" s="1" customFormat="1" ht="30" customHeight="1" thickBot="1" x14ac:dyDescent="0.35">
      <c r="A110" s="6"/>
      <c r="B110" s="107" t="s">
        <v>143</v>
      </c>
      <c r="C110" s="108" t="s">
        <v>38</v>
      </c>
      <c r="D110" s="109">
        <v>0</v>
      </c>
      <c r="E110" s="110">
        <f>F109+1</f>
        <v>46386</v>
      </c>
      <c r="F110" s="110">
        <f t="shared" si="56"/>
        <v>46386</v>
      </c>
      <c r="G110" s="35"/>
      <c r="H110" s="35">
        <f t="shared" si="55"/>
        <v>1</v>
      </c>
      <c r="I110" s="4"/>
      <c r="J110" s="4"/>
      <c r="K110" s="4"/>
      <c r="L110" s="4"/>
      <c r="M110" s="4"/>
      <c r="N110" s="4"/>
      <c r="O110" s="4"/>
      <c r="P110" s="4"/>
      <c r="Q110" s="4"/>
      <c r="R110" s="4"/>
      <c r="S110" s="4"/>
      <c r="T110" s="4"/>
      <c r="U110" s="4"/>
      <c r="V110" s="4"/>
      <c r="W110" s="4"/>
      <c r="X110" s="4"/>
      <c r="Y110" s="4"/>
      <c r="Z110" s="4"/>
      <c r="AA110" s="4"/>
      <c r="AB110" s="4"/>
      <c r="AC110" s="4"/>
      <c r="AD110" s="4"/>
      <c r="AE110" s="4"/>
      <c r="AF110" s="122"/>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122"/>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122"/>
    </row>
    <row r="111" spans="1:118" s="1" customFormat="1" ht="30" customHeight="1" thickBot="1" x14ac:dyDescent="0.35">
      <c r="A111" s="6"/>
      <c r="B111" s="107" t="s">
        <v>144</v>
      </c>
      <c r="C111" s="108" t="s">
        <v>38</v>
      </c>
      <c r="D111" s="109">
        <v>0</v>
      </c>
      <c r="E111" s="110">
        <f>F110+1</f>
        <v>46387</v>
      </c>
      <c r="F111" s="110">
        <f t="shared" si="56"/>
        <v>46387</v>
      </c>
      <c r="G111" s="35"/>
      <c r="H111" s="35">
        <f t="shared" si="55"/>
        <v>1</v>
      </c>
      <c r="I111" s="4"/>
      <c r="J111" s="4"/>
      <c r="K111" s="4"/>
      <c r="L111" s="4"/>
      <c r="M111" s="4"/>
      <c r="N111" s="4"/>
      <c r="O111" s="4"/>
      <c r="P111" s="4"/>
      <c r="Q111" s="4"/>
      <c r="R111" s="4"/>
      <c r="S111" s="4"/>
      <c r="T111" s="4"/>
      <c r="U111" s="4"/>
      <c r="V111" s="4"/>
      <c r="W111" s="4"/>
      <c r="X111" s="4"/>
      <c r="Y111" s="4"/>
      <c r="Z111" s="4"/>
      <c r="AA111" s="4"/>
      <c r="AB111" s="4"/>
      <c r="AC111" s="4"/>
      <c r="AD111" s="4"/>
      <c r="AE111" s="4"/>
      <c r="AF111" s="122"/>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122"/>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122"/>
    </row>
    <row r="112" spans="1:118" s="1" customFormat="1" ht="30" customHeight="1" thickBot="1" x14ac:dyDescent="0.35">
      <c r="A112" s="6"/>
      <c r="B112" s="107" t="s">
        <v>145</v>
      </c>
      <c r="C112" s="108" t="s">
        <v>38</v>
      </c>
      <c r="D112" s="109">
        <v>0</v>
      </c>
      <c r="E112" s="110">
        <f>F111+1</f>
        <v>46388</v>
      </c>
      <c r="F112" s="110">
        <f t="shared" si="56"/>
        <v>46388</v>
      </c>
      <c r="G112" s="35"/>
      <c r="H112" s="35">
        <f t="shared" si="55"/>
        <v>1</v>
      </c>
      <c r="I112" s="4"/>
      <c r="J112" s="4"/>
      <c r="K112" s="4"/>
      <c r="L112" s="4"/>
      <c r="M112" s="4"/>
      <c r="N112" s="4"/>
      <c r="O112" s="4"/>
      <c r="P112" s="4"/>
      <c r="Q112" s="4"/>
      <c r="R112" s="4"/>
      <c r="S112" s="4"/>
      <c r="T112" s="4"/>
      <c r="U112" s="4"/>
      <c r="V112" s="4"/>
      <c r="W112" s="4"/>
      <c r="X112" s="4"/>
      <c r="Y112" s="4"/>
      <c r="Z112" s="4"/>
      <c r="AA112" s="4"/>
      <c r="AB112" s="4"/>
      <c r="AC112" s="4"/>
      <c r="AD112" s="4"/>
      <c r="AE112" s="4"/>
      <c r="AF112" s="122"/>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122"/>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122"/>
    </row>
    <row r="113" spans="1:118" s="1" customFormat="1" ht="30" customHeight="1" thickBot="1" x14ac:dyDescent="0.35">
      <c r="A113" s="6"/>
      <c r="B113" s="107" t="s">
        <v>146</v>
      </c>
      <c r="C113" s="108" t="s">
        <v>38</v>
      </c>
      <c r="D113" s="109">
        <v>0</v>
      </c>
      <c r="E113" s="110">
        <f>F112+3</f>
        <v>46391</v>
      </c>
      <c r="F113" s="110">
        <f t="shared" si="56"/>
        <v>46391</v>
      </c>
      <c r="G113" s="35"/>
      <c r="H113" s="35">
        <f t="shared" si="55"/>
        <v>1</v>
      </c>
      <c r="I113" s="4"/>
      <c r="J113" s="4"/>
      <c r="K113" s="4"/>
      <c r="L113" s="4"/>
      <c r="M113" s="4"/>
      <c r="N113" s="4"/>
      <c r="O113" s="4"/>
      <c r="P113" s="4"/>
      <c r="Q113" s="4"/>
      <c r="R113" s="4"/>
      <c r="S113" s="4"/>
      <c r="T113" s="4"/>
      <c r="U113" s="4"/>
      <c r="V113" s="4"/>
      <c r="W113" s="4"/>
      <c r="X113" s="4"/>
      <c r="Y113" s="4"/>
      <c r="Z113" s="4"/>
      <c r="AA113" s="4"/>
      <c r="AB113" s="4"/>
      <c r="AC113" s="4"/>
      <c r="AD113" s="4"/>
      <c r="AE113" s="4"/>
      <c r="AF113" s="122"/>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122"/>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122"/>
    </row>
    <row r="114" spans="1:118" s="1" customFormat="1" ht="30" customHeight="1" thickBot="1" x14ac:dyDescent="0.35">
      <c r="A114" s="6"/>
      <c r="B114" s="107" t="s">
        <v>147</v>
      </c>
      <c r="C114" s="108" t="s">
        <v>38</v>
      </c>
      <c r="D114" s="109">
        <v>0</v>
      </c>
      <c r="E114" s="110">
        <f>F113+1</f>
        <v>46392</v>
      </c>
      <c r="F114" s="110">
        <f>E114+1</f>
        <v>46393</v>
      </c>
      <c r="G114" s="35"/>
      <c r="H114" s="35">
        <f t="shared" si="55"/>
        <v>2</v>
      </c>
      <c r="I114" s="4"/>
      <c r="J114" s="4"/>
      <c r="K114" s="4"/>
      <c r="L114" s="4"/>
      <c r="M114" s="4"/>
      <c r="N114" s="4"/>
      <c r="O114" s="4"/>
      <c r="P114" s="4"/>
      <c r="Q114" s="4"/>
      <c r="R114" s="4"/>
      <c r="S114" s="4"/>
      <c r="T114" s="4"/>
      <c r="U114" s="4"/>
      <c r="V114" s="4"/>
      <c r="W114" s="4"/>
      <c r="X114" s="4"/>
      <c r="Y114" s="4"/>
      <c r="Z114" s="4"/>
      <c r="AA114" s="4"/>
      <c r="AB114" s="4"/>
      <c r="AC114" s="4"/>
      <c r="AD114" s="4"/>
      <c r="AE114" s="4"/>
      <c r="AF114" s="122"/>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122"/>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122"/>
    </row>
    <row r="115" spans="1:118" s="1" customFormat="1" ht="30" customHeight="1" thickBot="1" x14ac:dyDescent="0.35">
      <c r="A115" s="6"/>
      <c r="B115" s="107" t="s">
        <v>148</v>
      </c>
      <c r="C115" s="108" t="s">
        <v>38</v>
      </c>
      <c r="D115" s="109">
        <v>0</v>
      </c>
      <c r="E115" s="110">
        <f>F114+1</f>
        <v>46394</v>
      </c>
      <c r="F115" s="110">
        <f>E115+1</f>
        <v>46395</v>
      </c>
      <c r="G115" s="35"/>
      <c r="H115" s="35">
        <f t="shared" si="55"/>
        <v>2</v>
      </c>
      <c r="I115" s="4"/>
      <c r="J115" s="4"/>
      <c r="K115" s="4"/>
      <c r="L115" s="4"/>
      <c r="M115" s="4"/>
      <c r="N115" s="4"/>
      <c r="O115" s="4"/>
      <c r="P115" s="4"/>
      <c r="Q115" s="4"/>
      <c r="R115" s="4"/>
      <c r="S115" s="4"/>
      <c r="T115" s="4"/>
      <c r="U115" s="4"/>
      <c r="V115" s="4"/>
      <c r="W115" s="4"/>
      <c r="X115" s="4"/>
      <c r="Y115" s="4"/>
      <c r="Z115" s="4"/>
      <c r="AA115" s="4"/>
      <c r="AB115" s="4"/>
      <c r="AC115" s="4"/>
      <c r="AD115" s="4"/>
      <c r="AE115" s="4"/>
      <c r="AF115" s="122"/>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122"/>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122"/>
    </row>
    <row r="116" spans="1:118" s="1" customFormat="1" ht="30" customHeight="1" thickBot="1" x14ac:dyDescent="0.35">
      <c r="A116" s="6"/>
      <c r="B116" s="107" t="s">
        <v>149</v>
      </c>
      <c r="C116" s="108" t="s">
        <v>38</v>
      </c>
      <c r="D116" s="109">
        <v>0</v>
      </c>
      <c r="E116" s="110">
        <f>F115+3</f>
        <v>46398</v>
      </c>
      <c r="F116" s="110">
        <f>E116+1</f>
        <v>46399</v>
      </c>
      <c r="G116" s="35"/>
      <c r="H116" s="35">
        <f t="shared" si="55"/>
        <v>2</v>
      </c>
      <c r="I116" s="4"/>
      <c r="J116" s="4"/>
      <c r="K116" s="4"/>
      <c r="L116" s="4"/>
      <c r="M116" s="4"/>
      <c r="N116" s="4"/>
      <c r="O116" s="4"/>
      <c r="P116" s="4"/>
      <c r="Q116" s="4"/>
      <c r="R116" s="4"/>
      <c r="S116" s="4"/>
      <c r="T116" s="4"/>
      <c r="U116" s="4"/>
      <c r="V116" s="4"/>
      <c r="W116" s="4"/>
      <c r="X116" s="4"/>
      <c r="Y116" s="4"/>
      <c r="Z116" s="4"/>
      <c r="AA116" s="4"/>
      <c r="AB116" s="4"/>
      <c r="AC116" s="4"/>
      <c r="AD116" s="4"/>
      <c r="AE116" s="4"/>
      <c r="AF116" s="122"/>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122"/>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122"/>
    </row>
    <row r="117" spans="1:118" s="1" customFormat="1" ht="30" customHeight="1" thickBot="1" x14ac:dyDescent="0.35">
      <c r="A117" s="6" t="s">
        <v>11</v>
      </c>
      <c r="B117" s="120" t="s">
        <v>93</v>
      </c>
      <c r="C117" s="113"/>
      <c r="D117" s="114"/>
      <c r="E117" s="115"/>
      <c r="F117" s="115"/>
      <c r="G117" s="35"/>
      <c r="H117" s="35" t="str">
        <f t="shared" si="55"/>
        <v/>
      </c>
      <c r="I117" s="4"/>
      <c r="J117" s="4"/>
      <c r="K117" s="4"/>
      <c r="L117" s="4"/>
      <c r="M117" s="4"/>
      <c r="N117" s="4"/>
      <c r="O117" s="4"/>
      <c r="P117" s="4"/>
      <c r="Q117" s="4"/>
      <c r="R117" s="4"/>
      <c r="S117" s="4"/>
      <c r="T117" s="4"/>
      <c r="U117" s="4"/>
      <c r="V117" s="4"/>
      <c r="W117" s="4"/>
      <c r="X117" s="4"/>
      <c r="Y117" s="4"/>
      <c r="Z117" s="4"/>
      <c r="AA117" s="4"/>
      <c r="AB117" s="4"/>
      <c r="AC117" s="4"/>
      <c r="AD117" s="4"/>
      <c r="AE117" s="4"/>
      <c r="AF117" s="122"/>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122"/>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122"/>
    </row>
    <row r="118" spans="1:118" s="1" customFormat="1" ht="30" customHeight="1" thickBot="1" x14ac:dyDescent="0.35">
      <c r="A118" s="6"/>
      <c r="B118" s="116" t="s">
        <v>150</v>
      </c>
      <c r="C118" s="117" t="s">
        <v>38</v>
      </c>
      <c r="D118" s="118">
        <v>0</v>
      </c>
      <c r="E118" s="119">
        <f>F116+1</f>
        <v>46400</v>
      </c>
      <c r="F118" s="119">
        <f>E118+2</f>
        <v>46402</v>
      </c>
      <c r="G118" s="35"/>
      <c r="H118" s="35">
        <f t="shared" si="55"/>
        <v>3</v>
      </c>
      <c r="I118" s="4"/>
      <c r="J118" s="4"/>
      <c r="K118" s="4"/>
      <c r="L118" s="4"/>
      <c r="M118" s="4"/>
      <c r="N118" s="4"/>
      <c r="O118" s="4"/>
      <c r="P118" s="4"/>
      <c r="Q118" s="4"/>
      <c r="R118" s="4"/>
      <c r="S118" s="4"/>
      <c r="T118" s="4"/>
      <c r="U118" s="4"/>
      <c r="V118" s="4"/>
      <c r="W118" s="4"/>
      <c r="X118" s="4"/>
      <c r="Y118" s="4"/>
      <c r="Z118" s="4"/>
      <c r="AA118" s="4"/>
      <c r="AB118" s="4"/>
      <c r="AC118" s="4"/>
      <c r="AD118" s="4"/>
      <c r="AE118" s="4"/>
      <c r="AF118" s="122"/>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122"/>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122"/>
    </row>
    <row r="119" spans="1:118" s="1" customFormat="1" ht="30" customHeight="1" thickBot="1" x14ac:dyDescent="0.35">
      <c r="A119" s="6"/>
      <c r="B119" s="116" t="s">
        <v>151</v>
      </c>
      <c r="C119" s="117" t="s">
        <v>38</v>
      </c>
      <c r="D119" s="118">
        <v>0</v>
      </c>
      <c r="E119" s="119">
        <f>F118+3</f>
        <v>46405</v>
      </c>
      <c r="F119" s="119">
        <f>E119</f>
        <v>46405</v>
      </c>
      <c r="G119" s="35"/>
      <c r="H119" s="35">
        <f t="shared" si="55"/>
        <v>1</v>
      </c>
      <c r="I119" s="4"/>
      <c r="J119" s="4"/>
      <c r="K119" s="4"/>
      <c r="L119" s="4"/>
      <c r="M119" s="4"/>
      <c r="N119" s="4"/>
      <c r="O119" s="4"/>
      <c r="P119" s="4"/>
      <c r="Q119" s="4"/>
      <c r="R119" s="4"/>
      <c r="S119" s="4"/>
      <c r="T119" s="4"/>
      <c r="U119" s="4"/>
      <c r="V119" s="4"/>
      <c r="W119" s="4"/>
      <c r="X119" s="4"/>
      <c r="Y119" s="4"/>
      <c r="Z119" s="4"/>
      <c r="AA119" s="4"/>
      <c r="AB119" s="4"/>
      <c r="AC119" s="4"/>
      <c r="AD119" s="4"/>
      <c r="AE119" s="4"/>
      <c r="AF119" s="122"/>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122"/>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122"/>
    </row>
    <row r="120" spans="1:118" s="1" customFormat="1" ht="30" customHeight="1" thickBot="1" x14ac:dyDescent="0.35">
      <c r="A120" s="6"/>
      <c r="B120" s="116" t="s">
        <v>152</v>
      </c>
      <c r="C120" s="117" t="s">
        <v>38</v>
      </c>
      <c r="D120" s="118">
        <v>0</v>
      </c>
      <c r="E120" s="119">
        <f>F119+1</f>
        <v>46406</v>
      </c>
      <c r="F120" s="119">
        <f>E120</f>
        <v>46406</v>
      </c>
      <c r="G120" s="35"/>
      <c r="H120" s="35">
        <f t="shared" si="55"/>
        <v>1</v>
      </c>
      <c r="I120" s="4"/>
      <c r="J120" s="4"/>
      <c r="K120" s="4"/>
      <c r="L120" s="4"/>
      <c r="M120" s="4"/>
      <c r="N120" s="4"/>
      <c r="O120" s="4"/>
      <c r="P120" s="4"/>
      <c r="Q120" s="4"/>
      <c r="R120" s="4"/>
      <c r="S120" s="4"/>
      <c r="T120" s="4"/>
      <c r="U120" s="4"/>
      <c r="V120" s="4"/>
      <c r="W120" s="4"/>
      <c r="X120" s="4"/>
      <c r="Y120" s="4"/>
      <c r="Z120" s="4"/>
      <c r="AA120" s="4"/>
      <c r="AB120" s="4"/>
      <c r="AC120" s="4"/>
      <c r="AD120" s="4"/>
      <c r="AE120" s="4"/>
      <c r="AF120" s="122"/>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122"/>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122"/>
    </row>
    <row r="121" spans="1:118" s="1" customFormat="1" ht="30" customHeight="1" thickBot="1" x14ac:dyDescent="0.35">
      <c r="A121" s="6"/>
      <c r="B121" s="116" t="s">
        <v>153</v>
      </c>
      <c r="C121" s="117" t="s">
        <v>38</v>
      </c>
      <c r="D121" s="118">
        <v>0</v>
      </c>
      <c r="E121" s="119">
        <f>F120+1</f>
        <v>46407</v>
      </c>
      <c r="F121" s="119">
        <f>E121</f>
        <v>46407</v>
      </c>
      <c r="G121" s="35"/>
      <c r="H121" s="35">
        <f t="shared" si="55"/>
        <v>1</v>
      </c>
      <c r="I121" s="4"/>
      <c r="J121" s="4"/>
      <c r="K121" s="4"/>
      <c r="L121" s="4"/>
      <c r="M121" s="4"/>
      <c r="N121" s="4"/>
      <c r="O121" s="4"/>
      <c r="P121" s="4"/>
      <c r="Q121" s="4"/>
      <c r="R121" s="4"/>
      <c r="S121" s="4"/>
      <c r="T121" s="4"/>
      <c r="U121" s="4"/>
      <c r="V121" s="4"/>
      <c r="W121" s="4"/>
      <c r="X121" s="4"/>
      <c r="Y121" s="4"/>
      <c r="Z121" s="4"/>
      <c r="AA121" s="4"/>
      <c r="AB121" s="4"/>
      <c r="AC121" s="4"/>
      <c r="AD121" s="4"/>
      <c r="AE121" s="4"/>
      <c r="AF121" s="122"/>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122"/>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122"/>
    </row>
    <row r="122" spans="1:118" s="1" customFormat="1" ht="30" customHeight="1" thickBot="1" x14ac:dyDescent="0.35">
      <c r="A122" s="6"/>
      <c r="B122" s="116" t="s">
        <v>154</v>
      </c>
      <c r="C122" s="117" t="s">
        <v>38</v>
      </c>
      <c r="D122" s="118">
        <v>0</v>
      </c>
      <c r="E122" s="119">
        <f>F121+1</f>
        <v>46408</v>
      </c>
      <c r="F122" s="119">
        <f>E122</f>
        <v>46408</v>
      </c>
      <c r="G122" s="35"/>
      <c r="H122" s="35">
        <f t="shared" si="55"/>
        <v>1</v>
      </c>
      <c r="I122" s="4"/>
      <c r="J122" s="4"/>
      <c r="K122" s="4"/>
      <c r="L122" s="4"/>
      <c r="M122" s="4"/>
      <c r="N122" s="4"/>
      <c r="O122" s="4"/>
      <c r="P122" s="4"/>
      <c r="Q122" s="4"/>
      <c r="R122" s="4"/>
      <c r="S122" s="4"/>
      <c r="T122" s="4"/>
      <c r="U122" s="4"/>
      <c r="V122" s="4"/>
      <c r="W122" s="4"/>
      <c r="X122" s="4"/>
      <c r="Y122" s="4"/>
      <c r="Z122" s="4"/>
      <c r="AA122" s="4"/>
      <c r="AB122" s="4"/>
      <c r="AC122" s="4"/>
      <c r="AD122" s="4"/>
      <c r="AE122" s="4"/>
      <c r="AF122" s="122"/>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122"/>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122"/>
    </row>
    <row r="123" spans="1:118" s="1" customFormat="1" ht="30" customHeight="1" thickBot="1" x14ac:dyDescent="0.35">
      <c r="A123" s="6"/>
      <c r="B123" s="116" t="s">
        <v>155</v>
      </c>
      <c r="C123" s="117" t="s">
        <v>38</v>
      </c>
      <c r="D123" s="118">
        <v>0</v>
      </c>
      <c r="E123" s="119">
        <f>F122+1</f>
        <v>46409</v>
      </c>
      <c r="F123" s="119">
        <f>E123</f>
        <v>46409</v>
      </c>
      <c r="G123" s="35"/>
      <c r="H123" s="35">
        <f t="shared" si="55"/>
        <v>1</v>
      </c>
      <c r="I123" s="4"/>
      <c r="J123" s="4"/>
      <c r="K123" s="4"/>
      <c r="L123" s="4"/>
      <c r="M123" s="4"/>
      <c r="N123" s="4"/>
      <c r="O123" s="4"/>
      <c r="P123" s="4"/>
      <c r="Q123" s="4"/>
      <c r="R123" s="4"/>
      <c r="S123" s="4"/>
      <c r="T123" s="4"/>
      <c r="U123" s="4"/>
      <c r="V123" s="4"/>
      <c r="W123" s="4"/>
      <c r="X123" s="4"/>
      <c r="Y123" s="4"/>
      <c r="Z123" s="4"/>
      <c r="AA123" s="4"/>
      <c r="AB123" s="4"/>
      <c r="AC123" s="4"/>
      <c r="AD123" s="4"/>
      <c r="AE123" s="4"/>
      <c r="AF123" s="122"/>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122"/>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122"/>
    </row>
    <row r="124" spans="1:118" s="1" customFormat="1" ht="30" customHeight="1" thickBot="1" x14ac:dyDescent="0.35">
      <c r="A124" s="6"/>
      <c r="B124" s="116" t="s">
        <v>156</v>
      </c>
      <c r="C124" s="117" t="s">
        <v>38</v>
      </c>
      <c r="D124" s="118">
        <v>0</v>
      </c>
      <c r="E124" s="119">
        <f>F123+3</f>
        <v>46412</v>
      </c>
      <c r="F124" s="119">
        <f>E124+1</f>
        <v>46413</v>
      </c>
      <c r="G124" s="35"/>
      <c r="H124" s="35">
        <f t="shared" si="55"/>
        <v>2</v>
      </c>
      <c r="I124" s="4"/>
      <c r="J124" s="4"/>
      <c r="K124" s="4"/>
      <c r="L124" s="4"/>
      <c r="M124" s="4"/>
      <c r="N124" s="4"/>
      <c r="O124" s="4"/>
      <c r="P124" s="4"/>
      <c r="Q124" s="4"/>
      <c r="R124" s="4"/>
      <c r="S124" s="4"/>
      <c r="T124" s="4"/>
      <c r="U124" s="4"/>
      <c r="V124" s="4"/>
      <c r="W124" s="4"/>
      <c r="X124" s="4"/>
      <c r="Y124" s="4"/>
      <c r="Z124" s="4"/>
      <c r="AA124" s="4"/>
      <c r="AB124" s="4"/>
      <c r="AC124" s="4"/>
      <c r="AD124" s="4"/>
      <c r="AE124" s="4"/>
      <c r="AF124" s="122"/>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122"/>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122"/>
    </row>
    <row r="125" spans="1:118" s="1" customFormat="1" ht="30" customHeight="1" thickBot="1" x14ac:dyDescent="0.35">
      <c r="A125" s="6"/>
      <c r="B125" s="116" t="s">
        <v>157</v>
      </c>
      <c r="C125" s="117" t="s">
        <v>38</v>
      </c>
      <c r="D125" s="118">
        <v>0</v>
      </c>
      <c r="E125" s="119">
        <f>F124</f>
        <v>46413</v>
      </c>
      <c r="F125" s="119">
        <f>E125+1</f>
        <v>46414</v>
      </c>
      <c r="G125" s="35"/>
      <c r="H125" s="35">
        <f t="shared" si="55"/>
        <v>2</v>
      </c>
      <c r="I125" s="4"/>
      <c r="J125" s="4"/>
      <c r="K125" s="4"/>
      <c r="L125" s="4"/>
      <c r="M125" s="4"/>
      <c r="N125" s="4"/>
      <c r="O125" s="4"/>
      <c r="P125" s="4"/>
      <c r="Q125" s="4"/>
      <c r="R125" s="4"/>
      <c r="S125" s="4"/>
      <c r="T125" s="4"/>
      <c r="U125" s="4"/>
      <c r="V125" s="4"/>
      <c r="W125" s="4"/>
      <c r="X125" s="4"/>
      <c r="Y125" s="4"/>
      <c r="Z125" s="4"/>
      <c r="AA125" s="4"/>
      <c r="AB125" s="4"/>
      <c r="AC125" s="4"/>
      <c r="AD125" s="4"/>
      <c r="AE125" s="4"/>
      <c r="AF125" s="122"/>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122"/>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122"/>
    </row>
    <row r="126" spans="1:118" s="1" customFormat="1" ht="30" customHeight="1" thickBot="1" x14ac:dyDescent="0.35">
      <c r="A126" s="6"/>
      <c r="B126" s="116" t="s">
        <v>158</v>
      </c>
      <c r="C126" s="117" t="s">
        <v>38</v>
      </c>
      <c r="D126" s="118">
        <v>0</v>
      </c>
      <c r="E126" s="119">
        <f>F125+1</f>
        <v>46415</v>
      </c>
      <c r="F126" s="119">
        <f>E126+1</f>
        <v>46416</v>
      </c>
      <c r="G126" s="35"/>
      <c r="H126" s="35">
        <f t="shared" si="55"/>
        <v>2</v>
      </c>
      <c r="I126" s="4"/>
      <c r="J126" s="4"/>
      <c r="K126" s="4"/>
      <c r="L126" s="4"/>
      <c r="M126" s="4"/>
      <c r="N126" s="4"/>
      <c r="O126" s="4"/>
      <c r="P126" s="4"/>
      <c r="Q126" s="4"/>
      <c r="R126" s="4"/>
      <c r="S126" s="4"/>
      <c r="T126" s="4"/>
      <c r="U126" s="4"/>
      <c r="V126" s="4"/>
      <c r="W126" s="4"/>
      <c r="X126" s="4"/>
      <c r="Y126" s="4"/>
      <c r="Z126" s="4"/>
      <c r="AA126" s="4"/>
      <c r="AB126" s="4"/>
      <c r="AC126" s="4"/>
      <c r="AD126" s="4"/>
      <c r="AE126" s="4"/>
      <c r="AF126" s="122"/>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122"/>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122"/>
    </row>
    <row r="127" spans="1:118" s="1" customFormat="1" ht="30" customHeight="1" thickBot="1" x14ac:dyDescent="0.35">
      <c r="A127" s="6"/>
      <c r="B127" s="116" t="s">
        <v>159</v>
      </c>
      <c r="C127" s="117" t="s">
        <v>38</v>
      </c>
      <c r="D127" s="118">
        <v>0</v>
      </c>
      <c r="E127" s="119">
        <f>F126+3</f>
        <v>46419</v>
      </c>
      <c r="F127" s="119">
        <f>E127+4</f>
        <v>46423</v>
      </c>
      <c r="G127" s="35"/>
      <c r="H127" s="35">
        <f t="shared" si="55"/>
        <v>5</v>
      </c>
      <c r="I127" s="4"/>
      <c r="J127" s="4"/>
      <c r="K127" s="4"/>
      <c r="L127" s="4"/>
      <c r="M127" s="4"/>
      <c r="N127" s="4"/>
      <c r="O127" s="4"/>
      <c r="P127" s="4"/>
      <c r="Q127" s="4"/>
      <c r="R127" s="4"/>
      <c r="S127" s="4"/>
      <c r="T127" s="4"/>
      <c r="U127" s="4"/>
      <c r="V127" s="4"/>
      <c r="W127" s="4"/>
      <c r="X127" s="4"/>
      <c r="Y127" s="4"/>
      <c r="Z127" s="4"/>
      <c r="AA127" s="4"/>
      <c r="AB127" s="4"/>
      <c r="AC127" s="4"/>
      <c r="AD127" s="4"/>
      <c r="AE127" s="4"/>
      <c r="AF127" s="122"/>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122"/>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122"/>
    </row>
    <row r="128" spans="1:118" s="1" customFormat="1" ht="30" customHeight="1" thickBot="1" x14ac:dyDescent="0.35">
      <c r="A128" s="6"/>
      <c r="B128" s="116" t="s">
        <v>160</v>
      </c>
      <c r="C128" s="117" t="s">
        <v>38</v>
      </c>
      <c r="D128" s="118">
        <v>0</v>
      </c>
      <c r="E128" s="119">
        <f>E127</f>
        <v>46419</v>
      </c>
      <c r="F128" s="119">
        <f>E128+4</f>
        <v>46423</v>
      </c>
      <c r="G128" s="35"/>
      <c r="H128" s="35">
        <f t="shared" si="55"/>
        <v>5</v>
      </c>
      <c r="I128" s="4"/>
      <c r="J128" s="4"/>
      <c r="K128" s="4"/>
      <c r="L128" s="4"/>
      <c r="M128" s="4"/>
      <c r="N128" s="4"/>
      <c r="O128" s="4"/>
      <c r="P128" s="4"/>
      <c r="Q128" s="4"/>
      <c r="R128" s="4"/>
      <c r="S128" s="4"/>
      <c r="T128" s="4"/>
      <c r="U128" s="4"/>
      <c r="V128" s="4"/>
      <c r="W128" s="4"/>
      <c r="X128" s="4"/>
      <c r="Y128" s="4"/>
      <c r="Z128" s="4"/>
      <c r="AA128" s="4"/>
      <c r="AB128" s="4"/>
      <c r="AC128" s="4"/>
      <c r="AD128" s="4"/>
      <c r="AE128" s="4"/>
      <c r="AF128" s="122"/>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122"/>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122"/>
    </row>
    <row r="129" spans="1:118" s="1" customFormat="1" ht="30" customHeight="1" thickBot="1" x14ac:dyDescent="0.35">
      <c r="A129" s="6"/>
      <c r="B129" s="116" t="s">
        <v>161</v>
      </c>
      <c r="C129" s="117" t="s">
        <v>38</v>
      </c>
      <c r="D129" s="118">
        <v>0</v>
      </c>
      <c r="E129" s="119">
        <f>E128</f>
        <v>46419</v>
      </c>
      <c r="F129" s="119">
        <f>E129+4</f>
        <v>46423</v>
      </c>
      <c r="G129" s="35"/>
      <c r="H129" s="35">
        <f t="shared" si="55"/>
        <v>5</v>
      </c>
      <c r="I129" s="4"/>
      <c r="J129" s="4"/>
      <c r="K129" s="4"/>
      <c r="L129" s="4"/>
      <c r="M129" s="4"/>
      <c r="N129" s="4"/>
      <c r="O129" s="4"/>
      <c r="P129" s="4"/>
      <c r="Q129" s="4"/>
      <c r="R129" s="4"/>
      <c r="S129" s="4"/>
      <c r="T129" s="4"/>
      <c r="U129" s="4"/>
      <c r="V129" s="4"/>
      <c r="W129" s="4"/>
      <c r="X129" s="4"/>
      <c r="Y129" s="4"/>
      <c r="Z129" s="4"/>
      <c r="AA129" s="4"/>
      <c r="AB129" s="4"/>
      <c r="AC129" s="4"/>
      <c r="AD129" s="4"/>
      <c r="AE129" s="4"/>
      <c r="AF129" s="122"/>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122"/>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122"/>
    </row>
    <row r="130" spans="1:118" s="1" customFormat="1" ht="30" customHeight="1" thickBot="1" x14ac:dyDescent="0.35">
      <c r="A130" s="6"/>
      <c r="B130" s="116" t="s">
        <v>162</v>
      </c>
      <c r="C130" s="117" t="s">
        <v>38</v>
      </c>
      <c r="D130" s="118">
        <v>0</v>
      </c>
      <c r="E130" s="119">
        <f>E129</f>
        <v>46419</v>
      </c>
      <c r="F130" s="119">
        <f>E130+4</f>
        <v>46423</v>
      </c>
      <c r="G130" s="35"/>
      <c r="H130" s="35">
        <f t="shared" si="55"/>
        <v>5</v>
      </c>
      <c r="I130" s="4"/>
      <c r="J130" s="4"/>
      <c r="K130" s="4"/>
      <c r="L130" s="4"/>
      <c r="M130" s="4"/>
      <c r="N130" s="4"/>
      <c r="O130" s="4"/>
      <c r="P130" s="4"/>
      <c r="Q130" s="4"/>
      <c r="R130" s="4"/>
      <c r="S130" s="4"/>
      <c r="T130" s="4"/>
      <c r="U130" s="4"/>
      <c r="V130" s="4"/>
      <c r="W130" s="4"/>
      <c r="X130" s="4"/>
      <c r="Y130" s="4"/>
      <c r="Z130" s="4"/>
      <c r="AA130" s="4"/>
      <c r="AB130" s="4"/>
      <c r="AC130" s="4"/>
      <c r="AD130" s="4"/>
      <c r="AE130" s="4"/>
      <c r="AF130" s="122"/>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122"/>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122"/>
    </row>
    <row r="131" spans="1:118" s="1" customFormat="1" ht="30" customHeight="1" thickBot="1" x14ac:dyDescent="0.35">
      <c r="A131" s="6"/>
      <c r="B131" s="116" t="s">
        <v>163</v>
      </c>
      <c r="C131" s="117" t="s">
        <v>38</v>
      </c>
      <c r="D131" s="118">
        <v>0</v>
      </c>
      <c r="E131" s="119">
        <f>E130</f>
        <v>46419</v>
      </c>
      <c r="F131" s="119">
        <f>E131+4</f>
        <v>46423</v>
      </c>
      <c r="G131" s="35"/>
      <c r="H131" s="35">
        <f t="shared" si="55"/>
        <v>5</v>
      </c>
      <c r="I131" s="4"/>
      <c r="J131" s="4"/>
      <c r="K131" s="4"/>
      <c r="L131" s="4"/>
      <c r="M131" s="4"/>
      <c r="N131" s="4"/>
      <c r="O131" s="4"/>
      <c r="P131" s="4"/>
      <c r="Q131" s="4"/>
      <c r="R131" s="4"/>
      <c r="S131" s="4"/>
      <c r="T131" s="4"/>
      <c r="U131" s="4"/>
      <c r="V131" s="4"/>
      <c r="W131" s="4"/>
      <c r="X131" s="4"/>
      <c r="Y131" s="4"/>
      <c r="Z131" s="4"/>
      <c r="AA131" s="4"/>
      <c r="AB131" s="4"/>
      <c r="AC131" s="4"/>
      <c r="AD131" s="4"/>
      <c r="AE131" s="4"/>
      <c r="AF131" s="122"/>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122"/>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122"/>
    </row>
  </sheetData>
  <mergeCells count="20">
    <mergeCell ref="CV4:DB4"/>
    <mergeCell ref="DC4:DI4"/>
    <mergeCell ref="DJ4:DN4"/>
    <mergeCell ref="CO4:CU4"/>
    <mergeCell ref="B2:C2"/>
    <mergeCell ref="BM4:BS4"/>
    <mergeCell ref="BT4:BZ4"/>
    <mergeCell ref="CA4:CG4"/>
    <mergeCell ref="CH4:CN4"/>
    <mergeCell ref="BF4:BL4"/>
    <mergeCell ref="E3:F3"/>
    <mergeCell ref="I4:O4"/>
    <mergeCell ref="P4:V4"/>
    <mergeCell ref="W4:AC4"/>
    <mergeCell ref="AD4:AJ4"/>
    <mergeCell ref="C3:D3"/>
    <mergeCell ref="C4:D4"/>
    <mergeCell ref="AK4:AQ4"/>
    <mergeCell ref="AR4:AX4"/>
    <mergeCell ref="AY4:BE4"/>
  </mergeCells>
  <phoneticPr fontId="26"/>
  <conditionalFormatting sqref="D7:D28 D30:D35 D43:D48">
    <cfRule type="dataBar" priority="35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55 DJ5:DM55">
    <cfRule type="expression" dxfId="314" priority="374">
      <formula>AND(TODAY()&gt;=I$5,TODAY()&lt;J$5)</formula>
    </cfRule>
  </conditionalFormatting>
  <conditionalFormatting sqref="I7:BL55 DJ7:DM55">
    <cfRule type="expression" dxfId="313" priority="368">
      <formula>AND(タスク_開始&lt;=I$5,ROUNDDOWN((タスク_終了-タスク_開始+1)*タスク_進捗状況,0)+タスク_開始-1&gt;=I$5)</formula>
    </cfRule>
    <cfRule type="expression" dxfId="312" priority="369" stopIfTrue="1">
      <formula>AND(タスク_終了&gt;=I$5,タスク_開始&lt;J$5)</formula>
    </cfRule>
  </conditionalFormatting>
  <conditionalFormatting sqref="BM5:CG55">
    <cfRule type="expression" dxfId="311" priority="341">
      <formula>AND(TODAY()&gt;=BM$5,TODAY()&lt;BN$5)</formula>
    </cfRule>
  </conditionalFormatting>
  <conditionalFormatting sqref="BM7:CG55">
    <cfRule type="expression" dxfId="310" priority="339">
      <formula>AND(タスク_開始&lt;=BM$5,ROUNDDOWN((タスク_終了-タスク_開始+1)*タスク_進捗状況,0)+タスク_開始-1&gt;=BM$5)</formula>
    </cfRule>
    <cfRule type="expression" dxfId="309" priority="340" stopIfTrue="1">
      <formula>AND(タスク_終了&gt;=BM$5,タスク_開始&lt;BN$5)</formula>
    </cfRule>
  </conditionalFormatting>
  <conditionalFormatting sqref="CH5:DB55">
    <cfRule type="expression" dxfId="308" priority="338">
      <formula>AND(TODAY()&gt;=CH$5,TODAY()&lt;CI$5)</formula>
    </cfRule>
  </conditionalFormatting>
  <conditionalFormatting sqref="CH7:DB55">
    <cfRule type="expression" dxfId="307" priority="336">
      <formula>AND(タスク_開始&lt;=CH$5,ROUNDDOWN((タスク_終了-タスク_開始+1)*タスク_進捗状況,0)+タスク_開始-1&gt;=CH$5)</formula>
    </cfRule>
    <cfRule type="expression" dxfId="306" priority="337" stopIfTrue="1">
      <formula>AND(タスク_終了&gt;=CH$5,タスク_開始&lt;CI$5)</formula>
    </cfRule>
  </conditionalFormatting>
  <conditionalFormatting sqref="DC5:DI55">
    <cfRule type="expression" dxfId="305" priority="335">
      <formula>AND(TODAY()&gt;=DC$5,TODAY()&lt;DD$5)</formula>
    </cfRule>
  </conditionalFormatting>
  <conditionalFormatting sqref="DC7:DI55">
    <cfRule type="expression" dxfId="304" priority="333">
      <formula>AND(タスク_開始&lt;=DC$5,ROUNDDOWN((タスク_終了-タスク_開始+1)*タスク_進捗状況,0)+タスク_開始-1&gt;=DC$5)</formula>
    </cfRule>
    <cfRule type="expression" dxfId="303" priority="334" stopIfTrue="1">
      <formula>AND(タスク_終了&gt;=DC$5,タスク_開始&lt;DD$5)</formula>
    </cfRule>
  </conditionalFormatting>
  <conditionalFormatting sqref="DN5:DN55">
    <cfRule type="expression" dxfId="302" priority="376">
      <formula>AND(TODAY()&gt;=DN$5,TODAY()&lt;#REF!)</formula>
    </cfRule>
  </conditionalFormatting>
  <conditionalFormatting sqref="DN7:DN55">
    <cfRule type="expression" dxfId="301" priority="379">
      <formula>AND(タスク_開始&lt;=DN$5,ROUNDDOWN((タスク_終了-タスク_開始+1)*タスク_進捗状況,0)+タスク_開始-1&gt;=DN$5)</formula>
    </cfRule>
    <cfRule type="expression" dxfId="300" priority="380" stopIfTrue="1">
      <formula>AND(タスク_終了&gt;=DN$5,タスク_開始&lt;#REF!)</formula>
    </cfRule>
  </conditionalFormatting>
  <conditionalFormatting sqref="D29">
    <cfRule type="dataBar" priority="329">
      <dataBar>
        <cfvo type="num" val="0"/>
        <cfvo type="num" val="1"/>
        <color theme="0" tint="-0.249977111117893"/>
      </dataBar>
      <extLst>
        <ext xmlns:x14="http://schemas.microsoft.com/office/spreadsheetml/2009/9/main" uri="{B025F937-C7B1-47D3-B67F-A62EFF666E3E}">
          <x14:id>{97D24A29-56E5-4171-8BD7-EBEA659962A8}</x14:id>
        </ext>
      </extLst>
    </cfRule>
  </conditionalFormatting>
  <conditionalFormatting sqref="D36:D42">
    <cfRule type="dataBar" priority="328">
      <dataBar>
        <cfvo type="num" val="0"/>
        <cfvo type="num" val="1"/>
        <color theme="0" tint="-0.249977111117893"/>
      </dataBar>
      <extLst>
        <ext xmlns:x14="http://schemas.microsoft.com/office/spreadsheetml/2009/9/main" uri="{B025F937-C7B1-47D3-B67F-A62EFF666E3E}">
          <x14:id>{B790AA4F-4644-414E-BBC6-A2A480D0F2FF}</x14:id>
        </ext>
      </extLst>
    </cfRule>
  </conditionalFormatting>
  <conditionalFormatting sqref="D49:D55">
    <cfRule type="dataBar" priority="327">
      <dataBar>
        <cfvo type="num" val="0"/>
        <cfvo type="num" val="1"/>
        <color theme="0" tint="-0.249977111117893"/>
      </dataBar>
      <extLst>
        <ext xmlns:x14="http://schemas.microsoft.com/office/spreadsheetml/2009/9/main" uri="{B025F937-C7B1-47D3-B67F-A62EFF666E3E}">
          <x14:id>{E8474A95-B536-42B2-B008-D7898D552E67}</x14:id>
        </ext>
      </extLst>
    </cfRule>
  </conditionalFormatting>
  <conditionalFormatting sqref="D56:D61">
    <cfRule type="dataBar" priority="320">
      <dataBar>
        <cfvo type="num" val="0"/>
        <cfvo type="num" val="1"/>
        <color theme="0" tint="-0.249977111117893"/>
      </dataBar>
      <extLst>
        <ext xmlns:x14="http://schemas.microsoft.com/office/spreadsheetml/2009/9/main" uri="{B025F937-C7B1-47D3-B67F-A62EFF666E3E}">
          <x14:id>{95A28F59-90C1-455D-BD1D-DB78220E151D}</x14:id>
        </ext>
      </extLst>
    </cfRule>
  </conditionalFormatting>
  <conditionalFormatting sqref="I56:BL65 DJ56:DM65">
    <cfRule type="expression" dxfId="299" priority="323">
      <formula>AND(TODAY()&gt;=I$5,TODAY()&lt;J$5)</formula>
    </cfRule>
  </conditionalFormatting>
  <conditionalFormatting sqref="I56:BL65 DJ56:DM65">
    <cfRule type="expression" dxfId="298" priority="321">
      <formula>AND(タスク_開始&lt;=I$5,ROUNDDOWN((タスク_終了-タスク_開始+1)*タスク_進捗状況,0)+タスク_開始-1&gt;=I$5)</formula>
    </cfRule>
    <cfRule type="expression" dxfId="297" priority="322" stopIfTrue="1">
      <formula>AND(タスク_終了&gt;=I$5,タスク_開始&lt;J$5)</formula>
    </cfRule>
  </conditionalFormatting>
  <conditionalFormatting sqref="BM56:CG65">
    <cfRule type="expression" dxfId="296" priority="319">
      <formula>AND(TODAY()&gt;=BM$5,TODAY()&lt;BN$5)</formula>
    </cfRule>
  </conditionalFormatting>
  <conditionalFormatting sqref="BM56:CG65">
    <cfRule type="expression" dxfId="295" priority="317">
      <formula>AND(タスク_開始&lt;=BM$5,ROUNDDOWN((タスク_終了-タスク_開始+1)*タスク_進捗状況,0)+タスク_開始-1&gt;=BM$5)</formula>
    </cfRule>
    <cfRule type="expression" dxfId="294" priority="318" stopIfTrue="1">
      <formula>AND(タスク_終了&gt;=BM$5,タスク_開始&lt;BN$5)</formula>
    </cfRule>
  </conditionalFormatting>
  <conditionalFormatting sqref="CH56:DB65">
    <cfRule type="expression" dxfId="293" priority="316">
      <formula>AND(TODAY()&gt;=CH$5,TODAY()&lt;CI$5)</formula>
    </cfRule>
  </conditionalFormatting>
  <conditionalFormatting sqref="CH56:DB65">
    <cfRule type="expression" dxfId="292" priority="314">
      <formula>AND(タスク_開始&lt;=CH$5,ROUNDDOWN((タスク_終了-タスク_開始+1)*タスク_進捗状況,0)+タスク_開始-1&gt;=CH$5)</formula>
    </cfRule>
    <cfRule type="expression" dxfId="291" priority="315" stopIfTrue="1">
      <formula>AND(タスク_終了&gt;=CH$5,タスク_開始&lt;CI$5)</formula>
    </cfRule>
  </conditionalFormatting>
  <conditionalFormatting sqref="DC56:DI65">
    <cfRule type="expression" dxfId="290" priority="313">
      <formula>AND(TODAY()&gt;=DC$5,TODAY()&lt;DD$5)</formula>
    </cfRule>
  </conditionalFormatting>
  <conditionalFormatting sqref="DC56:DI65">
    <cfRule type="expression" dxfId="289" priority="311">
      <formula>AND(タスク_開始&lt;=DC$5,ROUNDDOWN((タスク_終了-タスク_開始+1)*タスク_進捗状況,0)+タスク_開始-1&gt;=DC$5)</formula>
    </cfRule>
    <cfRule type="expression" dxfId="288" priority="312" stopIfTrue="1">
      <formula>AND(タスク_終了&gt;=DC$5,タスク_開始&lt;DD$5)</formula>
    </cfRule>
  </conditionalFormatting>
  <conditionalFormatting sqref="DN56:DN65">
    <cfRule type="expression" dxfId="287" priority="324">
      <formula>AND(TODAY()&gt;=DN$5,TODAY()&lt;#REF!)</formula>
    </cfRule>
  </conditionalFormatting>
  <conditionalFormatting sqref="DN56:DN65">
    <cfRule type="expression" dxfId="286" priority="325">
      <formula>AND(タスク_開始&lt;=DN$5,ROUNDDOWN((タスク_終了-タスク_開始+1)*タスク_進捗状況,0)+タスク_開始-1&gt;=DN$5)</formula>
    </cfRule>
    <cfRule type="expression" dxfId="285" priority="326" stopIfTrue="1">
      <formula>AND(タスク_終了&gt;=DN$5,タスク_開始&lt;#REF!)</formula>
    </cfRule>
  </conditionalFormatting>
  <conditionalFormatting sqref="D62:D65">
    <cfRule type="dataBar" priority="310">
      <dataBar>
        <cfvo type="num" val="0"/>
        <cfvo type="num" val="1"/>
        <color theme="0" tint="-0.249977111117893"/>
      </dataBar>
      <extLst>
        <ext xmlns:x14="http://schemas.microsoft.com/office/spreadsheetml/2009/9/main" uri="{B025F937-C7B1-47D3-B67F-A62EFF666E3E}">
          <x14:id>{98E65DB3-25AD-422E-9321-4987376E4D2C}</x14:id>
        </ext>
      </extLst>
    </cfRule>
  </conditionalFormatting>
  <conditionalFormatting sqref="D66:D71">
    <cfRule type="dataBar" priority="303">
      <dataBar>
        <cfvo type="num" val="0"/>
        <cfvo type="num" val="1"/>
        <color theme="0" tint="-0.249977111117893"/>
      </dataBar>
      <extLst>
        <ext xmlns:x14="http://schemas.microsoft.com/office/spreadsheetml/2009/9/main" uri="{B025F937-C7B1-47D3-B67F-A62EFF666E3E}">
          <x14:id>{6AA59584-9A21-4554-8441-FEE4AC198F5C}</x14:id>
        </ext>
      </extLst>
    </cfRule>
  </conditionalFormatting>
  <conditionalFormatting sqref="I66:BL75 DJ66:DM75">
    <cfRule type="expression" dxfId="284" priority="306">
      <formula>AND(TODAY()&gt;=I$5,TODAY()&lt;J$5)</formula>
    </cfRule>
  </conditionalFormatting>
  <conditionalFormatting sqref="I66:BL75 DJ66:DM75">
    <cfRule type="expression" dxfId="283" priority="304">
      <formula>AND(タスク_開始&lt;=I$5,ROUNDDOWN((タスク_終了-タスク_開始+1)*タスク_進捗状況,0)+タスク_開始-1&gt;=I$5)</formula>
    </cfRule>
    <cfRule type="expression" dxfId="282" priority="305" stopIfTrue="1">
      <formula>AND(タスク_終了&gt;=I$5,タスク_開始&lt;J$5)</formula>
    </cfRule>
  </conditionalFormatting>
  <conditionalFormatting sqref="BM66:CG75">
    <cfRule type="expression" dxfId="281" priority="302">
      <formula>AND(TODAY()&gt;=BM$5,TODAY()&lt;BN$5)</formula>
    </cfRule>
  </conditionalFormatting>
  <conditionalFormatting sqref="BM66:CG75">
    <cfRule type="expression" dxfId="280" priority="300">
      <formula>AND(タスク_開始&lt;=BM$5,ROUNDDOWN((タスク_終了-タスク_開始+1)*タスク_進捗状況,0)+タスク_開始-1&gt;=BM$5)</formula>
    </cfRule>
    <cfRule type="expression" dxfId="279" priority="301" stopIfTrue="1">
      <formula>AND(タスク_終了&gt;=BM$5,タスク_開始&lt;BN$5)</formula>
    </cfRule>
  </conditionalFormatting>
  <conditionalFormatting sqref="CH66:DB75">
    <cfRule type="expression" dxfId="278" priority="299">
      <formula>AND(TODAY()&gt;=CH$5,TODAY()&lt;CI$5)</formula>
    </cfRule>
  </conditionalFormatting>
  <conditionalFormatting sqref="CH66:DB75">
    <cfRule type="expression" dxfId="277" priority="297">
      <formula>AND(タスク_開始&lt;=CH$5,ROUNDDOWN((タスク_終了-タスク_開始+1)*タスク_進捗状況,0)+タスク_開始-1&gt;=CH$5)</formula>
    </cfRule>
    <cfRule type="expression" dxfId="276" priority="298" stopIfTrue="1">
      <formula>AND(タスク_終了&gt;=CH$5,タスク_開始&lt;CI$5)</formula>
    </cfRule>
  </conditionalFormatting>
  <conditionalFormatting sqref="DC66:DI75">
    <cfRule type="expression" dxfId="275" priority="296">
      <formula>AND(TODAY()&gt;=DC$5,TODAY()&lt;DD$5)</formula>
    </cfRule>
  </conditionalFormatting>
  <conditionalFormatting sqref="DC66:DI75">
    <cfRule type="expression" dxfId="274" priority="294">
      <formula>AND(タスク_開始&lt;=DC$5,ROUNDDOWN((タスク_終了-タスク_開始+1)*タスク_進捗状況,0)+タスク_開始-1&gt;=DC$5)</formula>
    </cfRule>
    <cfRule type="expression" dxfId="273" priority="295" stopIfTrue="1">
      <formula>AND(タスク_終了&gt;=DC$5,タスク_開始&lt;DD$5)</formula>
    </cfRule>
  </conditionalFormatting>
  <conditionalFormatting sqref="DN66:DN75">
    <cfRule type="expression" dxfId="272" priority="307">
      <formula>AND(TODAY()&gt;=DN$5,TODAY()&lt;#REF!)</formula>
    </cfRule>
  </conditionalFormatting>
  <conditionalFormatting sqref="DN66:DN75">
    <cfRule type="expression" dxfId="271" priority="308">
      <formula>AND(タスク_開始&lt;=DN$5,ROUNDDOWN((タスク_終了-タスク_開始+1)*タスク_進捗状況,0)+タスク_開始-1&gt;=DN$5)</formula>
    </cfRule>
    <cfRule type="expression" dxfId="270" priority="309" stopIfTrue="1">
      <formula>AND(タスク_終了&gt;=DN$5,タスク_開始&lt;#REF!)</formula>
    </cfRule>
  </conditionalFormatting>
  <conditionalFormatting sqref="D72:D75">
    <cfRule type="dataBar" priority="293">
      <dataBar>
        <cfvo type="num" val="0"/>
        <cfvo type="num" val="1"/>
        <color theme="0" tint="-0.249977111117893"/>
      </dataBar>
      <extLst>
        <ext xmlns:x14="http://schemas.microsoft.com/office/spreadsheetml/2009/9/main" uri="{B025F937-C7B1-47D3-B67F-A62EFF666E3E}">
          <x14:id>{75415003-401B-4ED7-B49E-DB70FCA026E9}</x14:id>
        </ext>
      </extLst>
    </cfRule>
  </conditionalFormatting>
  <conditionalFormatting sqref="I76:BL78 DJ76:DM78">
    <cfRule type="expression" dxfId="269" priority="289">
      <formula>AND(TODAY()&gt;=I$5,TODAY()&lt;J$5)</formula>
    </cfRule>
  </conditionalFormatting>
  <conditionalFormatting sqref="I76:BL78 DJ76:DM78">
    <cfRule type="expression" dxfId="268" priority="287">
      <formula>AND(タスク_開始&lt;=I$5,ROUNDDOWN((タスク_終了-タスク_開始+1)*タスク_進捗状況,0)+タスク_開始-1&gt;=I$5)</formula>
    </cfRule>
    <cfRule type="expression" dxfId="267" priority="288" stopIfTrue="1">
      <formula>AND(タスク_終了&gt;=I$5,タスク_開始&lt;J$5)</formula>
    </cfRule>
  </conditionalFormatting>
  <conditionalFormatting sqref="BM76:CG78">
    <cfRule type="expression" dxfId="266" priority="286">
      <formula>AND(TODAY()&gt;=BM$5,TODAY()&lt;BN$5)</formula>
    </cfRule>
  </conditionalFormatting>
  <conditionalFormatting sqref="BM76:CG78">
    <cfRule type="expression" dxfId="265" priority="284">
      <formula>AND(タスク_開始&lt;=BM$5,ROUNDDOWN((タスク_終了-タスク_開始+1)*タスク_進捗状況,0)+タスク_開始-1&gt;=BM$5)</formula>
    </cfRule>
    <cfRule type="expression" dxfId="264" priority="285" stopIfTrue="1">
      <formula>AND(タスク_終了&gt;=BM$5,タスク_開始&lt;BN$5)</formula>
    </cfRule>
  </conditionalFormatting>
  <conditionalFormatting sqref="CH76:DB78">
    <cfRule type="expression" dxfId="263" priority="283">
      <formula>AND(TODAY()&gt;=CH$5,TODAY()&lt;CI$5)</formula>
    </cfRule>
  </conditionalFormatting>
  <conditionalFormatting sqref="CH76:DB78">
    <cfRule type="expression" dxfId="262" priority="281">
      <formula>AND(タスク_開始&lt;=CH$5,ROUNDDOWN((タスク_終了-タスク_開始+1)*タスク_進捗状況,0)+タスク_開始-1&gt;=CH$5)</formula>
    </cfRule>
    <cfRule type="expression" dxfId="261" priority="282" stopIfTrue="1">
      <formula>AND(タスク_終了&gt;=CH$5,タスク_開始&lt;CI$5)</formula>
    </cfRule>
  </conditionalFormatting>
  <conditionalFormatting sqref="DC76:DI78">
    <cfRule type="expression" dxfId="260" priority="280">
      <formula>AND(TODAY()&gt;=DC$5,TODAY()&lt;DD$5)</formula>
    </cfRule>
  </conditionalFormatting>
  <conditionalFormatting sqref="DC76:DI78">
    <cfRule type="expression" dxfId="259" priority="278">
      <formula>AND(タスク_開始&lt;=DC$5,ROUNDDOWN((タスク_終了-タスク_開始+1)*タスク_進捗状況,0)+タスク_開始-1&gt;=DC$5)</formula>
    </cfRule>
    <cfRule type="expression" dxfId="258" priority="279" stopIfTrue="1">
      <formula>AND(タスク_終了&gt;=DC$5,タスク_開始&lt;DD$5)</formula>
    </cfRule>
  </conditionalFormatting>
  <conditionalFormatting sqref="DN76:DN78">
    <cfRule type="expression" dxfId="257" priority="290">
      <formula>AND(TODAY()&gt;=DN$5,TODAY()&lt;#REF!)</formula>
    </cfRule>
  </conditionalFormatting>
  <conditionalFormatting sqref="DN76:DN78">
    <cfRule type="expression" dxfId="256" priority="291">
      <formula>AND(タスク_開始&lt;=DN$5,ROUNDDOWN((タスク_終了-タスク_開始+1)*タスク_進捗状況,0)+タスク_開始-1&gt;=DN$5)</formula>
    </cfRule>
    <cfRule type="expression" dxfId="255" priority="292" stopIfTrue="1">
      <formula>AND(タスク_終了&gt;=DN$5,タスク_開始&lt;#REF!)</formula>
    </cfRule>
  </conditionalFormatting>
  <conditionalFormatting sqref="D76:D78">
    <cfRule type="dataBar" priority="277">
      <dataBar>
        <cfvo type="num" val="0"/>
        <cfvo type="num" val="1"/>
        <color theme="0" tint="-0.249977111117893"/>
      </dataBar>
      <extLst>
        <ext xmlns:x14="http://schemas.microsoft.com/office/spreadsheetml/2009/9/main" uri="{B025F937-C7B1-47D3-B67F-A62EFF666E3E}">
          <x14:id>{52C2D365-DBEE-4187-8DB9-16852FF1B908}</x14:id>
        </ext>
      </extLst>
    </cfRule>
  </conditionalFormatting>
  <conditionalFormatting sqref="D79:D84">
    <cfRule type="dataBar" priority="270">
      <dataBar>
        <cfvo type="num" val="0"/>
        <cfvo type="num" val="1"/>
        <color theme="0" tint="-0.249977111117893"/>
      </dataBar>
      <extLst>
        <ext xmlns:x14="http://schemas.microsoft.com/office/spreadsheetml/2009/9/main" uri="{B025F937-C7B1-47D3-B67F-A62EFF666E3E}">
          <x14:id>{8E02724F-1AB3-46A0-92E0-E9376C69F10C}</x14:id>
        </ext>
      </extLst>
    </cfRule>
  </conditionalFormatting>
  <conditionalFormatting sqref="I79:BL88 DJ79:DM88">
    <cfRule type="expression" dxfId="254" priority="273">
      <formula>AND(TODAY()&gt;=I$5,TODAY()&lt;J$5)</formula>
    </cfRule>
  </conditionalFormatting>
  <conditionalFormatting sqref="I79:BL88 DJ79:DM88">
    <cfRule type="expression" dxfId="253" priority="271">
      <formula>AND(タスク_開始&lt;=I$5,ROUNDDOWN((タスク_終了-タスク_開始+1)*タスク_進捗状況,0)+タスク_開始-1&gt;=I$5)</formula>
    </cfRule>
    <cfRule type="expression" dxfId="252" priority="272" stopIfTrue="1">
      <formula>AND(タスク_終了&gt;=I$5,タスク_開始&lt;J$5)</formula>
    </cfRule>
  </conditionalFormatting>
  <conditionalFormatting sqref="BM79:CG88">
    <cfRule type="expression" dxfId="251" priority="269">
      <formula>AND(TODAY()&gt;=BM$5,TODAY()&lt;BN$5)</formula>
    </cfRule>
  </conditionalFormatting>
  <conditionalFormatting sqref="BM79:CG88">
    <cfRule type="expression" dxfId="250" priority="267">
      <formula>AND(タスク_開始&lt;=BM$5,ROUNDDOWN((タスク_終了-タスク_開始+1)*タスク_進捗状況,0)+タスク_開始-1&gt;=BM$5)</formula>
    </cfRule>
    <cfRule type="expression" dxfId="249" priority="268" stopIfTrue="1">
      <formula>AND(タスク_終了&gt;=BM$5,タスク_開始&lt;BN$5)</formula>
    </cfRule>
  </conditionalFormatting>
  <conditionalFormatting sqref="CH79:DB88">
    <cfRule type="expression" dxfId="248" priority="266">
      <formula>AND(TODAY()&gt;=CH$5,TODAY()&lt;CI$5)</formula>
    </cfRule>
  </conditionalFormatting>
  <conditionalFormatting sqref="CH79:DB88">
    <cfRule type="expression" dxfId="247" priority="264">
      <formula>AND(タスク_開始&lt;=CH$5,ROUNDDOWN((タスク_終了-タスク_開始+1)*タスク_進捗状況,0)+タスク_開始-1&gt;=CH$5)</formula>
    </cfRule>
    <cfRule type="expression" dxfId="246" priority="265" stopIfTrue="1">
      <formula>AND(タスク_終了&gt;=CH$5,タスク_開始&lt;CI$5)</formula>
    </cfRule>
  </conditionalFormatting>
  <conditionalFormatting sqref="DC79:DI88">
    <cfRule type="expression" dxfId="245" priority="263">
      <formula>AND(TODAY()&gt;=DC$5,TODAY()&lt;DD$5)</formula>
    </cfRule>
  </conditionalFormatting>
  <conditionalFormatting sqref="DC79:DI88">
    <cfRule type="expression" dxfId="244" priority="261">
      <formula>AND(タスク_開始&lt;=DC$5,ROUNDDOWN((タスク_終了-タスク_開始+1)*タスク_進捗状況,0)+タスク_開始-1&gt;=DC$5)</formula>
    </cfRule>
    <cfRule type="expression" dxfId="243" priority="262" stopIfTrue="1">
      <formula>AND(タスク_終了&gt;=DC$5,タスク_開始&lt;DD$5)</formula>
    </cfRule>
  </conditionalFormatting>
  <conditionalFormatting sqref="DN79:DN88">
    <cfRule type="expression" dxfId="242" priority="274">
      <formula>AND(TODAY()&gt;=DN$5,TODAY()&lt;#REF!)</formula>
    </cfRule>
  </conditionalFormatting>
  <conditionalFormatting sqref="DN79:DN88">
    <cfRule type="expression" dxfId="241" priority="275">
      <formula>AND(タスク_開始&lt;=DN$5,ROUNDDOWN((タスク_終了-タスク_開始+1)*タスク_進捗状況,0)+タスク_開始-1&gt;=DN$5)</formula>
    </cfRule>
    <cfRule type="expression" dxfId="240" priority="276" stopIfTrue="1">
      <formula>AND(タスク_終了&gt;=DN$5,タスク_開始&lt;#REF!)</formula>
    </cfRule>
  </conditionalFormatting>
  <conditionalFormatting sqref="D85:D88">
    <cfRule type="dataBar" priority="260">
      <dataBar>
        <cfvo type="num" val="0"/>
        <cfvo type="num" val="1"/>
        <color theme="0" tint="-0.249977111117893"/>
      </dataBar>
      <extLst>
        <ext xmlns:x14="http://schemas.microsoft.com/office/spreadsheetml/2009/9/main" uri="{B025F937-C7B1-47D3-B67F-A62EFF666E3E}">
          <x14:id>{123B4575-1766-4CA2-BB5F-CE27FFF20DE6}</x14:id>
        </ext>
      </extLst>
    </cfRule>
  </conditionalFormatting>
  <conditionalFormatting sqref="I89:BL89 DJ89:DM89">
    <cfRule type="expression" dxfId="239" priority="256">
      <formula>AND(TODAY()&gt;=I$5,TODAY()&lt;J$5)</formula>
    </cfRule>
  </conditionalFormatting>
  <conditionalFormatting sqref="I89:BL89 DJ89:DM89">
    <cfRule type="expression" dxfId="238" priority="254">
      <formula>AND(タスク_開始&lt;=I$5,ROUNDDOWN((タスク_終了-タスク_開始+1)*タスク_進捗状況,0)+タスク_開始-1&gt;=I$5)</formula>
    </cfRule>
    <cfRule type="expression" dxfId="237" priority="255" stopIfTrue="1">
      <formula>AND(タスク_終了&gt;=I$5,タスク_開始&lt;J$5)</formula>
    </cfRule>
  </conditionalFormatting>
  <conditionalFormatting sqref="BM89:CG89">
    <cfRule type="expression" dxfId="236" priority="253">
      <formula>AND(TODAY()&gt;=BM$5,TODAY()&lt;BN$5)</formula>
    </cfRule>
  </conditionalFormatting>
  <conditionalFormatting sqref="BM89:CG89">
    <cfRule type="expression" dxfId="235" priority="251">
      <formula>AND(タスク_開始&lt;=BM$5,ROUNDDOWN((タスク_終了-タスク_開始+1)*タスク_進捗状況,0)+タスク_開始-1&gt;=BM$5)</formula>
    </cfRule>
    <cfRule type="expression" dxfId="234" priority="252" stopIfTrue="1">
      <formula>AND(タスク_終了&gt;=BM$5,タスク_開始&lt;BN$5)</formula>
    </cfRule>
  </conditionalFormatting>
  <conditionalFormatting sqref="CH89:DB89">
    <cfRule type="expression" dxfId="233" priority="250">
      <formula>AND(TODAY()&gt;=CH$5,TODAY()&lt;CI$5)</formula>
    </cfRule>
  </conditionalFormatting>
  <conditionalFormatting sqref="CH89:DB89">
    <cfRule type="expression" dxfId="232" priority="248">
      <formula>AND(タスク_開始&lt;=CH$5,ROUNDDOWN((タスク_終了-タスク_開始+1)*タスク_進捗状況,0)+タスク_開始-1&gt;=CH$5)</formula>
    </cfRule>
    <cfRule type="expression" dxfId="231" priority="249" stopIfTrue="1">
      <formula>AND(タスク_終了&gt;=CH$5,タスク_開始&lt;CI$5)</formula>
    </cfRule>
  </conditionalFormatting>
  <conditionalFormatting sqref="DC89:DI89">
    <cfRule type="expression" dxfId="230" priority="247">
      <formula>AND(TODAY()&gt;=DC$5,TODAY()&lt;DD$5)</formula>
    </cfRule>
  </conditionalFormatting>
  <conditionalFormatting sqref="DC89:DI89">
    <cfRule type="expression" dxfId="229" priority="245">
      <formula>AND(タスク_開始&lt;=DC$5,ROUNDDOWN((タスク_終了-タスク_開始+1)*タスク_進捗状況,0)+タスク_開始-1&gt;=DC$5)</formula>
    </cfRule>
    <cfRule type="expression" dxfId="228" priority="246" stopIfTrue="1">
      <formula>AND(タスク_終了&gt;=DC$5,タスク_開始&lt;DD$5)</formula>
    </cfRule>
  </conditionalFormatting>
  <conditionalFormatting sqref="DN89">
    <cfRule type="expression" dxfId="227" priority="257">
      <formula>AND(TODAY()&gt;=DN$5,TODAY()&lt;#REF!)</formula>
    </cfRule>
  </conditionalFormatting>
  <conditionalFormatting sqref="DN89">
    <cfRule type="expression" dxfId="226" priority="258">
      <formula>AND(タスク_開始&lt;=DN$5,ROUNDDOWN((タスク_終了-タスク_開始+1)*タスク_進捗状況,0)+タスク_開始-1&gt;=DN$5)</formula>
    </cfRule>
    <cfRule type="expression" dxfId="225" priority="259" stopIfTrue="1">
      <formula>AND(タスク_終了&gt;=DN$5,タスク_開始&lt;#REF!)</formula>
    </cfRule>
  </conditionalFormatting>
  <conditionalFormatting sqref="D89">
    <cfRule type="dataBar" priority="244">
      <dataBar>
        <cfvo type="num" val="0"/>
        <cfvo type="num" val="1"/>
        <color theme="0" tint="-0.249977111117893"/>
      </dataBar>
      <extLst>
        <ext xmlns:x14="http://schemas.microsoft.com/office/spreadsheetml/2009/9/main" uri="{B025F937-C7B1-47D3-B67F-A62EFF666E3E}">
          <x14:id>{3A66BB14-F033-489A-93D5-BA2D934BA7B8}</x14:id>
        </ext>
      </extLst>
    </cfRule>
  </conditionalFormatting>
  <conditionalFormatting sqref="D90:D95">
    <cfRule type="dataBar" priority="237">
      <dataBar>
        <cfvo type="num" val="0"/>
        <cfvo type="num" val="1"/>
        <color theme="0" tint="-0.249977111117893"/>
      </dataBar>
      <extLst>
        <ext xmlns:x14="http://schemas.microsoft.com/office/spreadsheetml/2009/9/main" uri="{B025F937-C7B1-47D3-B67F-A62EFF666E3E}">
          <x14:id>{31AA5329-484C-4528-8521-4B9236EA9405}</x14:id>
        </ext>
      </extLst>
    </cfRule>
  </conditionalFormatting>
  <conditionalFormatting sqref="I90:BL99 DJ90:DM99">
    <cfRule type="expression" dxfId="224" priority="240">
      <formula>AND(TODAY()&gt;=I$5,TODAY()&lt;J$5)</formula>
    </cfRule>
  </conditionalFormatting>
  <conditionalFormatting sqref="I90:BL99 DJ90:DM99">
    <cfRule type="expression" dxfId="223" priority="238">
      <formula>AND(タスク_開始&lt;=I$5,ROUNDDOWN((タスク_終了-タスク_開始+1)*タスク_進捗状況,0)+タスク_開始-1&gt;=I$5)</formula>
    </cfRule>
    <cfRule type="expression" dxfId="222" priority="239" stopIfTrue="1">
      <formula>AND(タスク_終了&gt;=I$5,タスク_開始&lt;J$5)</formula>
    </cfRule>
  </conditionalFormatting>
  <conditionalFormatting sqref="BM90:CG99">
    <cfRule type="expression" dxfId="221" priority="236">
      <formula>AND(TODAY()&gt;=BM$5,TODAY()&lt;BN$5)</formula>
    </cfRule>
  </conditionalFormatting>
  <conditionalFormatting sqref="BM90:CG99">
    <cfRule type="expression" dxfId="220" priority="234">
      <formula>AND(タスク_開始&lt;=BM$5,ROUNDDOWN((タスク_終了-タスク_開始+1)*タスク_進捗状況,0)+タスク_開始-1&gt;=BM$5)</formula>
    </cfRule>
    <cfRule type="expression" dxfId="219" priority="235" stopIfTrue="1">
      <formula>AND(タスク_終了&gt;=BM$5,タスク_開始&lt;BN$5)</formula>
    </cfRule>
  </conditionalFormatting>
  <conditionalFormatting sqref="CH90:DB99">
    <cfRule type="expression" dxfId="218" priority="233">
      <formula>AND(TODAY()&gt;=CH$5,TODAY()&lt;CI$5)</formula>
    </cfRule>
  </conditionalFormatting>
  <conditionalFormatting sqref="CH90:DB99">
    <cfRule type="expression" dxfId="217" priority="231">
      <formula>AND(タスク_開始&lt;=CH$5,ROUNDDOWN((タスク_終了-タスク_開始+1)*タスク_進捗状況,0)+タスク_開始-1&gt;=CH$5)</formula>
    </cfRule>
    <cfRule type="expression" dxfId="216" priority="232" stopIfTrue="1">
      <formula>AND(タスク_終了&gt;=CH$5,タスク_開始&lt;CI$5)</formula>
    </cfRule>
  </conditionalFormatting>
  <conditionalFormatting sqref="DC90:DI99">
    <cfRule type="expression" dxfId="215" priority="230">
      <formula>AND(TODAY()&gt;=DC$5,TODAY()&lt;DD$5)</formula>
    </cfRule>
  </conditionalFormatting>
  <conditionalFormatting sqref="DC90:DI99">
    <cfRule type="expression" dxfId="214" priority="228">
      <formula>AND(タスク_開始&lt;=DC$5,ROUNDDOWN((タスク_終了-タスク_開始+1)*タスク_進捗状況,0)+タスク_開始-1&gt;=DC$5)</formula>
    </cfRule>
    <cfRule type="expression" dxfId="213" priority="229" stopIfTrue="1">
      <formula>AND(タスク_終了&gt;=DC$5,タスク_開始&lt;DD$5)</formula>
    </cfRule>
  </conditionalFormatting>
  <conditionalFormatting sqref="DN90:DN99">
    <cfRule type="expression" dxfId="212" priority="241">
      <formula>AND(TODAY()&gt;=DN$5,TODAY()&lt;#REF!)</formula>
    </cfRule>
  </conditionalFormatting>
  <conditionalFormatting sqref="DN90:DN99">
    <cfRule type="expression" dxfId="211" priority="242">
      <formula>AND(タスク_開始&lt;=DN$5,ROUNDDOWN((タスク_終了-タスク_開始+1)*タスク_進捗状況,0)+タスク_開始-1&gt;=DN$5)</formula>
    </cfRule>
    <cfRule type="expression" dxfId="210" priority="243" stopIfTrue="1">
      <formula>AND(タスク_終了&gt;=DN$5,タスク_開始&lt;#REF!)</formula>
    </cfRule>
  </conditionalFormatting>
  <conditionalFormatting sqref="D96:D99">
    <cfRule type="dataBar" priority="227">
      <dataBar>
        <cfvo type="num" val="0"/>
        <cfvo type="num" val="1"/>
        <color theme="0" tint="-0.249977111117893"/>
      </dataBar>
      <extLst>
        <ext xmlns:x14="http://schemas.microsoft.com/office/spreadsheetml/2009/9/main" uri="{B025F937-C7B1-47D3-B67F-A62EFF666E3E}">
          <x14:id>{C0A40DD8-C14D-4C11-9BCF-28C99D5CDD60}</x14:id>
        </ext>
      </extLst>
    </cfRule>
  </conditionalFormatting>
  <conditionalFormatting sqref="I100:BL100 DJ100:DM100">
    <cfRule type="expression" dxfId="209" priority="223">
      <formula>AND(TODAY()&gt;=I$5,TODAY()&lt;J$5)</formula>
    </cfRule>
  </conditionalFormatting>
  <conditionalFormatting sqref="I100:BL100 DJ100:DM100">
    <cfRule type="expression" dxfId="208" priority="221">
      <formula>AND(タスク_開始&lt;=I$5,ROUNDDOWN((タスク_終了-タスク_開始+1)*タスク_進捗状況,0)+タスク_開始-1&gt;=I$5)</formula>
    </cfRule>
    <cfRule type="expression" dxfId="207" priority="222" stopIfTrue="1">
      <formula>AND(タスク_終了&gt;=I$5,タスク_開始&lt;J$5)</formula>
    </cfRule>
  </conditionalFormatting>
  <conditionalFormatting sqref="BM100:CG100">
    <cfRule type="expression" dxfId="206" priority="220">
      <formula>AND(TODAY()&gt;=BM$5,TODAY()&lt;BN$5)</formula>
    </cfRule>
  </conditionalFormatting>
  <conditionalFormatting sqref="BM100:CG100">
    <cfRule type="expression" dxfId="205" priority="218">
      <formula>AND(タスク_開始&lt;=BM$5,ROUNDDOWN((タスク_終了-タスク_開始+1)*タスク_進捗状況,0)+タスク_開始-1&gt;=BM$5)</formula>
    </cfRule>
    <cfRule type="expression" dxfId="204" priority="219" stopIfTrue="1">
      <formula>AND(タスク_終了&gt;=BM$5,タスク_開始&lt;BN$5)</formula>
    </cfRule>
  </conditionalFormatting>
  <conditionalFormatting sqref="CH100:DB100">
    <cfRule type="expression" dxfId="203" priority="217">
      <formula>AND(TODAY()&gt;=CH$5,TODAY()&lt;CI$5)</formula>
    </cfRule>
  </conditionalFormatting>
  <conditionalFormatting sqref="CH100:DB100">
    <cfRule type="expression" dxfId="202" priority="215">
      <formula>AND(タスク_開始&lt;=CH$5,ROUNDDOWN((タスク_終了-タスク_開始+1)*タスク_進捗状況,0)+タスク_開始-1&gt;=CH$5)</formula>
    </cfRule>
    <cfRule type="expression" dxfId="201" priority="216" stopIfTrue="1">
      <formula>AND(タスク_終了&gt;=CH$5,タスク_開始&lt;CI$5)</formula>
    </cfRule>
  </conditionalFormatting>
  <conditionalFormatting sqref="DC100:DI100">
    <cfRule type="expression" dxfId="200" priority="214">
      <formula>AND(TODAY()&gt;=DC$5,TODAY()&lt;DD$5)</formula>
    </cfRule>
  </conditionalFormatting>
  <conditionalFormatting sqref="DC100:DI100">
    <cfRule type="expression" dxfId="199" priority="212">
      <formula>AND(タスク_開始&lt;=DC$5,ROUNDDOWN((タスク_終了-タスク_開始+1)*タスク_進捗状況,0)+タスク_開始-1&gt;=DC$5)</formula>
    </cfRule>
    <cfRule type="expression" dxfId="198" priority="213" stopIfTrue="1">
      <formula>AND(タスク_終了&gt;=DC$5,タスク_開始&lt;DD$5)</formula>
    </cfRule>
  </conditionalFormatting>
  <conditionalFormatting sqref="DN100">
    <cfRule type="expression" dxfId="197" priority="224">
      <formula>AND(TODAY()&gt;=DN$5,TODAY()&lt;#REF!)</formula>
    </cfRule>
  </conditionalFormatting>
  <conditionalFormatting sqref="DN100">
    <cfRule type="expression" dxfId="196" priority="225">
      <formula>AND(タスク_開始&lt;=DN$5,ROUNDDOWN((タスク_終了-タスク_開始+1)*タスク_進捗状況,0)+タスク_開始-1&gt;=DN$5)</formula>
    </cfRule>
    <cfRule type="expression" dxfId="195" priority="226" stopIfTrue="1">
      <formula>AND(タスク_終了&gt;=DN$5,タスク_開始&lt;#REF!)</formula>
    </cfRule>
  </conditionalFormatting>
  <conditionalFormatting sqref="D100">
    <cfRule type="dataBar" priority="211">
      <dataBar>
        <cfvo type="num" val="0"/>
        <cfvo type="num" val="1"/>
        <color theme="0" tint="-0.249977111117893"/>
      </dataBar>
      <extLst>
        <ext xmlns:x14="http://schemas.microsoft.com/office/spreadsheetml/2009/9/main" uri="{B025F937-C7B1-47D3-B67F-A62EFF666E3E}">
          <x14:id>{DC7F0698-F903-426B-94F7-8A361C3BDD4C}</x14:id>
        </ext>
      </extLst>
    </cfRule>
  </conditionalFormatting>
  <conditionalFormatting sqref="I101:BL101 DJ101:DM101">
    <cfRule type="expression" dxfId="194" priority="207">
      <formula>AND(TODAY()&gt;=I$5,TODAY()&lt;J$5)</formula>
    </cfRule>
  </conditionalFormatting>
  <conditionalFormatting sqref="I101:BL101 DJ101:DM101">
    <cfRule type="expression" dxfId="193" priority="205">
      <formula>AND(タスク_開始&lt;=I$5,ROUNDDOWN((タスク_終了-タスク_開始+1)*タスク_進捗状況,0)+タスク_開始-1&gt;=I$5)</formula>
    </cfRule>
    <cfRule type="expression" dxfId="192" priority="206" stopIfTrue="1">
      <formula>AND(タスク_終了&gt;=I$5,タスク_開始&lt;J$5)</formula>
    </cfRule>
  </conditionalFormatting>
  <conditionalFormatting sqref="BM101:CG101">
    <cfRule type="expression" dxfId="191" priority="204">
      <formula>AND(TODAY()&gt;=BM$5,TODAY()&lt;BN$5)</formula>
    </cfRule>
  </conditionalFormatting>
  <conditionalFormatting sqref="BM101:CG101">
    <cfRule type="expression" dxfId="190" priority="202">
      <formula>AND(タスク_開始&lt;=BM$5,ROUNDDOWN((タスク_終了-タスク_開始+1)*タスク_進捗状況,0)+タスク_開始-1&gt;=BM$5)</formula>
    </cfRule>
    <cfRule type="expression" dxfId="189" priority="203" stopIfTrue="1">
      <formula>AND(タスク_終了&gt;=BM$5,タスク_開始&lt;BN$5)</formula>
    </cfRule>
  </conditionalFormatting>
  <conditionalFormatting sqref="CH101:DB101">
    <cfRule type="expression" dxfId="188" priority="201">
      <formula>AND(TODAY()&gt;=CH$5,TODAY()&lt;CI$5)</formula>
    </cfRule>
  </conditionalFormatting>
  <conditionalFormatting sqref="CH101:DB101">
    <cfRule type="expression" dxfId="187" priority="199">
      <formula>AND(タスク_開始&lt;=CH$5,ROUNDDOWN((タスク_終了-タスク_開始+1)*タスク_進捗状況,0)+タスク_開始-1&gt;=CH$5)</formula>
    </cfRule>
    <cfRule type="expression" dxfId="186" priority="200" stopIfTrue="1">
      <formula>AND(タスク_終了&gt;=CH$5,タスク_開始&lt;CI$5)</formula>
    </cfRule>
  </conditionalFormatting>
  <conditionalFormatting sqref="DC101:DI101">
    <cfRule type="expression" dxfId="185" priority="198">
      <formula>AND(TODAY()&gt;=DC$5,TODAY()&lt;DD$5)</formula>
    </cfRule>
  </conditionalFormatting>
  <conditionalFormatting sqref="DC101:DI101">
    <cfRule type="expression" dxfId="184" priority="196">
      <formula>AND(タスク_開始&lt;=DC$5,ROUNDDOWN((タスク_終了-タスク_開始+1)*タスク_進捗状況,0)+タスク_開始-1&gt;=DC$5)</formula>
    </cfRule>
    <cfRule type="expression" dxfId="183" priority="197" stopIfTrue="1">
      <formula>AND(タスク_終了&gt;=DC$5,タスク_開始&lt;DD$5)</formula>
    </cfRule>
  </conditionalFormatting>
  <conditionalFormatting sqref="DN101">
    <cfRule type="expression" dxfId="182" priority="208">
      <formula>AND(TODAY()&gt;=DN$5,TODAY()&lt;#REF!)</formula>
    </cfRule>
  </conditionalFormatting>
  <conditionalFormatting sqref="DN101">
    <cfRule type="expression" dxfId="181" priority="209">
      <formula>AND(タスク_開始&lt;=DN$5,ROUNDDOWN((タスク_終了-タスク_開始+1)*タスク_進捗状況,0)+タスク_開始-1&gt;=DN$5)</formula>
    </cfRule>
    <cfRule type="expression" dxfId="180" priority="210" stopIfTrue="1">
      <formula>AND(タスク_終了&gt;=DN$5,タスク_開始&lt;#REF!)</formula>
    </cfRule>
  </conditionalFormatting>
  <conditionalFormatting sqref="D101">
    <cfRule type="dataBar" priority="195">
      <dataBar>
        <cfvo type="num" val="0"/>
        <cfvo type="num" val="1"/>
        <color theme="0" tint="-0.249977111117893"/>
      </dataBar>
      <extLst>
        <ext xmlns:x14="http://schemas.microsoft.com/office/spreadsheetml/2009/9/main" uri="{B025F937-C7B1-47D3-B67F-A62EFF666E3E}">
          <x14:id>{8A2CBD53-AEC6-4F6C-B1B5-F94F3764C094}</x14:id>
        </ext>
      </extLst>
    </cfRule>
  </conditionalFormatting>
  <conditionalFormatting sqref="I102:BL102 DJ102:DM102">
    <cfRule type="expression" dxfId="179" priority="191">
      <formula>AND(TODAY()&gt;=I$5,TODAY()&lt;J$5)</formula>
    </cfRule>
  </conditionalFormatting>
  <conditionalFormatting sqref="I102:BL102 DJ102:DM102">
    <cfRule type="expression" dxfId="178" priority="189">
      <formula>AND(タスク_開始&lt;=I$5,ROUNDDOWN((タスク_終了-タスク_開始+1)*タスク_進捗状況,0)+タスク_開始-1&gt;=I$5)</formula>
    </cfRule>
    <cfRule type="expression" dxfId="177" priority="190" stopIfTrue="1">
      <formula>AND(タスク_終了&gt;=I$5,タスク_開始&lt;J$5)</formula>
    </cfRule>
  </conditionalFormatting>
  <conditionalFormatting sqref="BM102:CG102">
    <cfRule type="expression" dxfId="176" priority="188">
      <formula>AND(TODAY()&gt;=BM$5,TODAY()&lt;BN$5)</formula>
    </cfRule>
  </conditionalFormatting>
  <conditionalFormatting sqref="BM102:CG102">
    <cfRule type="expression" dxfId="175" priority="186">
      <formula>AND(タスク_開始&lt;=BM$5,ROUNDDOWN((タスク_終了-タスク_開始+1)*タスク_進捗状況,0)+タスク_開始-1&gt;=BM$5)</formula>
    </cfRule>
    <cfRule type="expression" dxfId="174" priority="187" stopIfTrue="1">
      <formula>AND(タスク_終了&gt;=BM$5,タスク_開始&lt;BN$5)</formula>
    </cfRule>
  </conditionalFormatting>
  <conditionalFormatting sqref="CH102:DB102">
    <cfRule type="expression" dxfId="173" priority="185">
      <formula>AND(TODAY()&gt;=CH$5,TODAY()&lt;CI$5)</formula>
    </cfRule>
  </conditionalFormatting>
  <conditionalFormatting sqref="CH102:DB102">
    <cfRule type="expression" dxfId="172" priority="183">
      <formula>AND(タスク_開始&lt;=CH$5,ROUNDDOWN((タスク_終了-タスク_開始+1)*タスク_進捗状況,0)+タスク_開始-1&gt;=CH$5)</formula>
    </cfRule>
    <cfRule type="expression" dxfId="171" priority="184" stopIfTrue="1">
      <formula>AND(タスク_終了&gt;=CH$5,タスク_開始&lt;CI$5)</formula>
    </cfRule>
  </conditionalFormatting>
  <conditionalFormatting sqref="DC102:DI102">
    <cfRule type="expression" dxfId="170" priority="182">
      <formula>AND(TODAY()&gt;=DC$5,TODAY()&lt;DD$5)</formula>
    </cfRule>
  </conditionalFormatting>
  <conditionalFormatting sqref="DC102:DI102">
    <cfRule type="expression" dxfId="169" priority="180">
      <formula>AND(タスク_開始&lt;=DC$5,ROUNDDOWN((タスク_終了-タスク_開始+1)*タスク_進捗状況,0)+タスク_開始-1&gt;=DC$5)</formula>
    </cfRule>
    <cfRule type="expression" dxfId="168" priority="181" stopIfTrue="1">
      <formula>AND(タスク_終了&gt;=DC$5,タスク_開始&lt;DD$5)</formula>
    </cfRule>
  </conditionalFormatting>
  <conditionalFormatting sqref="DN102">
    <cfRule type="expression" dxfId="167" priority="192">
      <formula>AND(TODAY()&gt;=DN$5,TODAY()&lt;#REF!)</formula>
    </cfRule>
  </conditionalFormatting>
  <conditionalFormatting sqref="DN102">
    <cfRule type="expression" dxfId="166" priority="193">
      <formula>AND(タスク_開始&lt;=DN$5,ROUNDDOWN((タスク_終了-タスク_開始+1)*タスク_進捗状況,0)+タスク_開始-1&gt;=DN$5)</formula>
    </cfRule>
    <cfRule type="expression" dxfId="165" priority="194" stopIfTrue="1">
      <formula>AND(タスク_終了&gt;=DN$5,タスク_開始&lt;#REF!)</formula>
    </cfRule>
  </conditionalFormatting>
  <conditionalFormatting sqref="D102">
    <cfRule type="dataBar" priority="179">
      <dataBar>
        <cfvo type="num" val="0"/>
        <cfvo type="num" val="1"/>
        <color theme="0" tint="-0.249977111117893"/>
      </dataBar>
      <extLst>
        <ext xmlns:x14="http://schemas.microsoft.com/office/spreadsheetml/2009/9/main" uri="{B025F937-C7B1-47D3-B67F-A62EFF666E3E}">
          <x14:id>{F8E3C242-C981-45D0-94B6-693D93B3C78F}</x14:id>
        </ext>
      </extLst>
    </cfRule>
  </conditionalFormatting>
  <conditionalFormatting sqref="D103:D108">
    <cfRule type="dataBar" priority="172">
      <dataBar>
        <cfvo type="num" val="0"/>
        <cfvo type="num" val="1"/>
        <color theme="0" tint="-0.249977111117893"/>
      </dataBar>
      <extLst>
        <ext xmlns:x14="http://schemas.microsoft.com/office/spreadsheetml/2009/9/main" uri="{B025F937-C7B1-47D3-B67F-A62EFF666E3E}">
          <x14:id>{C3FE3527-615A-40E6-8EE5-C913145F09A7}</x14:id>
        </ext>
      </extLst>
    </cfRule>
  </conditionalFormatting>
  <conditionalFormatting sqref="I103:BL112 DJ103:DM112">
    <cfRule type="expression" dxfId="164" priority="175">
      <formula>AND(TODAY()&gt;=I$5,TODAY()&lt;J$5)</formula>
    </cfRule>
  </conditionalFormatting>
  <conditionalFormatting sqref="I103:BL112 DJ103:DM112">
    <cfRule type="expression" dxfId="163" priority="173">
      <formula>AND(タスク_開始&lt;=I$5,ROUNDDOWN((タスク_終了-タスク_開始+1)*タスク_進捗状況,0)+タスク_開始-1&gt;=I$5)</formula>
    </cfRule>
    <cfRule type="expression" dxfId="162" priority="174" stopIfTrue="1">
      <formula>AND(タスク_終了&gt;=I$5,タスク_開始&lt;J$5)</formula>
    </cfRule>
  </conditionalFormatting>
  <conditionalFormatting sqref="BM103:CG112">
    <cfRule type="expression" dxfId="161" priority="171">
      <formula>AND(TODAY()&gt;=BM$5,TODAY()&lt;BN$5)</formula>
    </cfRule>
  </conditionalFormatting>
  <conditionalFormatting sqref="BM103:CG112">
    <cfRule type="expression" dxfId="160" priority="169">
      <formula>AND(タスク_開始&lt;=BM$5,ROUNDDOWN((タスク_終了-タスク_開始+1)*タスク_進捗状況,0)+タスク_開始-1&gt;=BM$5)</formula>
    </cfRule>
    <cfRule type="expression" dxfId="159" priority="170" stopIfTrue="1">
      <formula>AND(タスク_終了&gt;=BM$5,タスク_開始&lt;BN$5)</formula>
    </cfRule>
  </conditionalFormatting>
  <conditionalFormatting sqref="CH103:DB112">
    <cfRule type="expression" dxfId="158" priority="168">
      <formula>AND(TODAY()&gt;=CH$5,TODAY()&lt;CI$5)</formula>
    </cfRule>
  </conditionalFormatting>
  <conditionalFormatting sqref="CH103:DB112">
    <cfRule type="expression" dxfId="157" priority="166">
      <formula>AND(タスク_開始&lt;=CH$5,ROUNDDOWN((タスク_終了-タスク_開始+1)*タスク_進捗状況,0)+タスク_開始-1&gt;=CH$5)</formula>
    </cfRule>
    <cfRule type="expression" dxfId="156" priority="167" stopIfTrue="1">
      <formula>AND(タスク_終了&gt;=CH$5,タスク_開始&lt;CI$5)</formula>
    </cfRule>
  </conditionalFormatting>
  <conditionalFormatting sqref="DC103:DI112">
    <cfRule type="expression" dxfId="155" priority="165">
      <formula>AND(TODAY()&gt;=DC$5,TODAY()&lt;DD$5)</formula>
    </cfRule>
  </conditionalFormatting>
  <conditionalFormatting sqref="DC103:DI112">
    <cfRule type="expression" dxfId="154" priority="163">
      <formula>AND(タスク_開始&lt;=DC$5,ROUNDDOWN((タスク_終了-タスク_開始+1)*タスク_進捗状況,0)+タスク_開始-1&gt;=DC$5)</formula>
    </cfRule>
    <cfRule type="expression" dxfId="153" priority="164" stopIfTrue="1">
      <formula>AND(タスク_終了&gt;=DC$5,タスク_開始&lt;DD$5)</formula>
    </cfRule>
  </conditionalFormatting>
  <conditionalFormatting sqref="DN103:DN112">
    <cfRule type="expression" dxfId="152" priority="176">
      <formula>AND(TODAY()&gt;=DN$5,TODAY()&lt;#REF!)</formula>
    </cfRule>
  </conditionalFormatting>
  <conditionalFormatting sqref="DN103:DN112">
    <cfRule type="expression" dxfId="151" priority="177">
      <formula>AND(タスク_開始&lt;=DN$5,ROUNDDOWN((タスク_終了-タスク_開始+1)*タスク_進捗状況,0)+タスク_開始-1&gt;=DN$5)</formula>
    </cfRule>
    <cfRule type="expression" dxfId="150" priority="178" stopIfTrue="1">
      <formula>AND(タスク_終了&gt;=DN$5,タスク_開始&lt;#REF!)</formula>
    </cfRule>
  </conditionalFormatting>
  <conditionalFormatting sqref="D109:D112">
    <cfRule type="dataBar" priority="162">
      <dataBar>
        <cfvo type="num" val="0"/>
        <cfvo type="num" val="1"/>
        <color theme="0" tint="-0.249977111117893"/>
      </dataBar>
      <extLst>
        <ext xmlns:x14="http://schemas.microsoft.com/office/spreadsheetml/2009/9/main" uri="{B025F937-C7B1-47D3-B67F-A62EFF666E3E}">
          <x14:id>{5DA02524-FB15-4EA5-B925-047E51EE8112}</x14:id>
        </ext>
      </extLst>
    </cfRule>
  </conditionalFormatting>
  <conditionalFormatting sqref="I113:BL113 DJ113:DM113">
    <cfRule type="expression" dxfId="149" priority="158">
      <formula>AND(TODAY()&gt;=I$5,TODAY()&lt;J$5)</formula>
    </cfRule>
  </conditionalFormatting>
  <conditionalFormatting sqref="I113:BL113 DJ113:DM113">
    <cfRule type="expression" dxfId="148" priority="156">
      <formula>AND(タスク_開始&lt;=I$5,ROUNDDOWN((タスク_終了-タスク_開始+1)*タスク_進捗状況,0)+タスク_開始-1&gt;=I$5)</formula>
    </cfRule>
    <cfRule type="expression" dxfId="147" priority="157" stopIfTrue="1">
      <formula>AND(タスク_終了&gt;=I$5,タスク_開始&lt;J$5)</formula>
    </cfRule>
  </conditionalFormatting>
  <conditionalFormatting sqref="BM113:CG113">
    <cfRule type="expression" dxfId="146" priority="155">
      <formula>AND(TODAY()&gt;=BM$5,TODAY()&lt;BN$5)</formula>
    </cfRule>
  </conditionalFormatting>
  <conditionalFormatting sqref="BM113:CG113">
    <cfRule type="expression" dxfId="145" priority="153">
      <formula>AND(タスク_開始&lt;=BM$5,ROUNDDOWN((タスク_終了-タスク_開始+1)*タスク_進捗状況,0)+タスク_開始-1&gt;=BM$5)</formula>
    </cfRule>
    <cfRule type="expression" dxfId="144" priority="154" stopIfTrue="1">
      <formula>AND(タスク_終了&gt;=BM$5,タスク_開始&lt;BN$5)</formula>
    </cfRule>
  </conditionalFormatting>
  <conditionalFormatting sqref="CH113:DB113">
    <cfRule type="expression" dxfId="143" priority="152">
      <formula>AND(TODAY()&gt;=CH$5,TODAY()&lt;CI$5)</formula>
    </cfRule>
  </conditionalFormatting>
  <conditionalFormatting sqref="CH113:DB113">
    <cfRule type="expression" dxfId="142" priority="150">
      <formula>AND(タスク_開始&lt;=CH$5,ROUNDDOWN((タスク_終了-タスク_開始+1)*タスク_進捗状況,0)+タスク_開始-1&gt;=CH$5)</formula>
    </cfRule>
    <cfRule type="expression" dxfId="141" priority="151" stopIfTrue="1">
      <formula>AND(タスク_終了&gt;=CH$5,タスク_開始&lt;CI$5)</formula>
    </cfRule>
  </conditionalFormatting>
  <conditionalFormatting sqref="DC113:DI113">
    <cfRule type="expression" dxfId="140" priority="149">
      <formula>AND(TODAY()&gt;=DC$5,TODAY()&lt;DD$5)</formula>
    </cfRule>
  </conditionalFormatting>
  <conditionalFormatting sqref="DC113:DI113">
    <cfRule type="expression" dxfId="139" priority="147">
      <formula>AND(タスク_開始&lt;=DC$5,ROUNDDOWN((タスク_終了-タスク_開始+1)*タスク_進捗状況,0)+タスク_開始-1&gt;=DC$5)</formula>
    </cfRule>
    <cfRule type="expression" dxfId="138" priority="148" stopIfTrue="1">
      <formula>AND(タスク_終了&gt;=DC$5,タスク_開始&lt;DD$5)</formula>
    </cfRule>
  </conditionalFormatting>
  <conditionalFormatting sqref="DN113">
    <cfRule type="expression" dxfId="137" priority="159">
      <formula>AND(TODAY()&gt;=DN$5,TODAY()&lt;#REF!)</formula>
    </cfRule>
  </conditionalFormatting>
  <conditionalFormatting sqref="DN113">
    <cfRule type="expression" dxfId="136" priority="160">
      <formula>AND(タスク_開始&lt;=DN$5,ROUNDDOWN((タスク_終了-タスク_開始+1)*タスク_進捗状況,0)+タスク_開始-1&gt;=DN$5)</formula>
    </cfRule>
    <cfRule type="expression" dxfId="135" priority="161" stopIfTrue="1">
      <formula>AND(タスク_終了&gt;=DN$5,タスク_開始&lt;#REF!)</formula>
    </cfRule>
  </conditionalFormatting>
  <conditionalFormatting sqref="D113">
    <cfRule type="dataBar" priority="146">
      <dataBar>
        <cfvo type="num" val="0"/>
        <cfvo type="num" val="1"/>
        <color theme="0" tint="-0.249977111117893"/>
      </dataBar>
      <extLst>
        <ext xmlns:x14="http://schemas.microsoft.com/office/spreadsheetml/2009/9/main" uri="{B025F937-C7B1-47D3-B67F-A62EFF666E3E}">
          <x14:id>{0E147390-0713-42AD-99D6-90EF97DD0371}</x14:id>
        </ext>
      </extLst>
    </cfRule>
  </conditionalFormatting>
  <conditionalFormatting sqref="I114:BL114 DJ114:DM114">
    <cfRule type="expression" dxfId="134" priority="142">
      <formula>AND(TODAY()&gt;=I$5,TODAY()&lt;J$5)</formula>
    </cfRule>
  </conditionalFormatting>
  <conditionalFormatting sqref="I114:BL114 DJ114:DM114">
    <cfRule type="expression" dxfId="133" priority="140">
      <formula>AND(タスク_開始&lt;=I$5,ROUNDDOWN((タスク_終了-タスク_開始+1)*タスク_進捗状況,0)+タスク_開始-1&gt;=I$5)</formula>
    </cfRule>
    <cfRule type="expression" dxfId="132" priority="141" stopIfTrue="1">
      <formula>AND(タスク_終了&gt;=I$5,タスク_開始&lt;J$5)</formula>
    </cfRule>
  </conditionalFormatting>
  <conditionalFormatting sqref="BM114:CG114">
    <cfRule type="expression" dxfId="131" priority="139">
      <formula>AND(TODAY()&gt;=BM$5,TODAY()&lt;BN$5)</formula>
    </cfRule>
  </conditionalFormatting>
  <conditionalFormatting sqref="BM114:CG114">
    <cfRule type="expression" dxfId="130" priority="137">
      <formula>AND(タスク_開始&lt;=BM$5,ROUNDDOWN((タスク_終了-タスク_開始+1)*タスク_進捗状況,0)+タスク_開始-1&gt;=BM$5)</formula>
    </cfRule>
    <cfRule type="expression" dxfId="129" priority="138" stopIfTrue="1">
      <formula>AND(タスク_終了&gt;=BM$5,タスク_開始&lt;BN$5)</formula>
    </cfRule>
  </conditionalFormatting>
  <conditionalFormatting sqref="CH114:DB114">
    <cfRule type="expression" dxfId="128" priority="136">
      <formula>AND(TODAY()&gt;=CH$5,TODAY()&lt;CI$5)</formula>
    </cfRule>
  </conditionalFormatting>
  <conditionalFormatting sqref="CH114:DB114">
    <cfRule type="expression" dxfId="127" priority="134">
      <formula>AND(タスク_開始&lt;=CH$5,ROUNDDOWN((タスク_終了-タスク_開始+1)*タスク_進捗状況,0)+タスク_開始-1&gt;=CH$5)</formula>
    </cfRule>
    <cfRule type="expression" dxfId="126" priority="135" stopIfTrue="1">
      <formula>AND(タスク_終了&gt;=CH$5,タスク_開始&lt;CI$5)</formula>
    </cfRule>
  </conditionalFormatting>
  <conditionalFormatting sqref="DC114:DI114">
    <cfRule type="expression" dxfId="125" priority="133">
      <formula>AND(TODAY()&gt;=DC$5,TODAY()&lt;DD$5)</formula>
    </cfRule>
  </conditionalFormatting>
  <conditionalFormatting sqref="DC114:DI114">
    <cfRule type="expression" dxfId="124" priority="131">
      <formula>AND(タスク_開始&lt;=DC$5,ROUNDDOWN((タスク_終了-タスク_開始+1)*タスク_進捗状況,0)+タスク_開始-1&gt;=DC$5)</formula>
    </cfRule>
    <cfRule type="expression" dxfId="123" priority="132" stopIfTrue="1">
      <formula>AND(タスク_終了&gt;=DC$5,タスク_開始&lt;DD$5)</formula>
    </cfRule>
  </conditionalFormatting>
  <conditionalFormatting sqref="DN114">
    <cfRule type="expression" dxfId="122" priority="143">
      <formula>AND(TODAY()&gt;=DN$5,TODAY()&lt;#REF!)</formula>
    </cfRule>
  </conditionalFormatting>
  <conditionalFormatting sqref="DN114">
    <cfRule type="expression" dxfId="121" priority="144">
      <formula>AND(タスク_開始&lt;=DN$5,ROUNDDOWN((タスク_終了-タスク_開始+1)*タスク_進捗状況,0)+タスク_開始-1&gt;=DN$5)</formula>
    </cfRule>
    <cfRule type="expression" dxfId="120" priority="145" stopIfTrue="1">
      <formula>AND(タスク_終了&gt;=DN$5,タスク_開始&lt;#REF!)</formula>
    </cfRule>
  </conditionalFormatting>
  <conditionalFormatting sqref="D114">
    <cfRule type="dataBar" priority="130">
      <dataBar>
        <cfvo type="num" val="0"/>
        <cfvo type="num" val="1"/>
        <color theme="0" tint="-0.249977111117893"/>
      </dataBar>
      <extLst>
        <ext xmlns:x14="http://schemas.microsoft.com/office/spreadsheetml/2009/9/main" uri="{B025F937-C7B1-47D3-B67F-A62EFF666E3E}">
          <x14:id>{07968493-FBA3-4F1E-9D0F-193292CB28DF}</x14:id>
        </ext>
      </extLst>
    </cfRule>
  </conditionalFormatting>
  <conditionalFormatting sqref="I115:BL115 DJ115:DM115">
    <cfRule type="expression" dxfId="119" priority="126">
      <formula>AND(TODAY()&gt;=I$5,TODAY()&lt;J$5)</formula>
    </cfRule>
  </conditionalFormatting>
  <conditionalFormatting sqref="I115:BL115 DJ115:DM115">
    <cfRule type="expression" dxfId="118" priority="124">
      <formula>AND(タスク_開始&lt;=I$5,ROUNDDOWN((タスク_終了-タスク_開始+1)*タスク_進捗状況,0)+タスク_開始-1&gt;=I$5)</formula>
    </cfRule>
    <cfRule type="expression" dxfId="117" priority="125" stopIfTrue="1">
      <formula>AND(タスク_終了&gt;=I$5,タスク_開始&lt;J$5)</formula>
    </cfRule>
  </conditionalFormatting>
  <conditionalFormatting sqref="BM115:CG115">
    <cfRule type="expression" dxfId="116" priority="123">
      <formula>AND(TODAY()&gt;=BM$5,TODAY()&lt;BN$5)</formula>
    </cfRule>
  </conditionalFormatting>
  <conditionalFormatting sqref="BM115:CG115">
    <cfRule type="expression" dxfId="115" priority="121">
      <formula>AND(タスク_開始&lt;=BM$5,ROUNDDOWN((タスク_終了-タスク_開始+1)*タスク_進捗状況,0)+タスク_開始-1&gt;=BM$5)</formula>
    </cfRule>
    <cfRule type="expression" dxfId="114" priority="122" stopIfTrue="1">
      <formula>AND(タスク_終了&gt;=BM$5,タスク_開始&lt;BN$5)</formula>
    </cfRule>
  </conditionalFormatting>
  <conditionalFormatting sqref="CH115:DB115">
    <cfRule type="expression" dxfId="113" priority="120">
      <formula>AND(TODAY()&gt;=CH$5,TODAY()&lt;CI$5)</formula>
    </cfRule>
  </conditionalFormatting>
  <conditionalFormatting sqref="CH115:DB115">
    <cfRule type="expression" dxfId="112" priority="118">
      <formula>AND(タスク_開始&lt;=CH$5,ROUNDDOWN((タスク_終了-タスク_開始+1)*タスク_進捗状況,0)+タスク_開始-1&gt;=CH$5)</formula>
    </cfRule>
    <cfRule type="expression" dxfId="111" priority="119" stopIfTrue="1">
      <formula>AND(タスク_終了&gt;=CH$5,タスク_開始&lt;CI$5)</formula>
    </cfRule>
  </conditionalFormatting>
  <conditionalFormatting sqref="DC115:DI115">
    <cfRule type="expression" dxfId="110" priority="117">
      <formula>AND(TODAY()&gt;=DC$5,TODAY()&lt;DD$5)</formula>
    </cfRule>
  </conditionalFormatting>
  <conditionalFormatting sqref="DC115:DI115">
    <cfRule type="expression" dxfId="109" priority="115">
      <formula>AND(タスク_開始&lt;=DC$5,ROUNDDOWN((タスク_終了-タスク_開始+1)*タスク_進捗状況,0)+タスク_開始-1&gt;=DC$5)</formula>
    </cfRule>
    <cfRule type="expression" dxfId="108" priority="116" stopIfTrue="1">
      <formula>AND(タスク_終了&gt;=DC$5,タスク_開始&lt;DD$5)</formula>
    </cfRule>
  </conditionalFormatting>
  <conditionalFormatting sqref="DN115">
    <cfRule type="expression" dxfId="107" priority="127">
      <formula>AND(TODAY()&gt;=DN$5,TODAY()&lt;#REF!)</formula>
    </cfRule>
  </conditionalFormatting>
  <conditionalFormatting sqref="DN115">
    <cfRule type="expression" dxfId="106" priority="128">
      <formula>AND(タスク_開始&lt;=DN$5,ROUNDDOWN((タスク_終了-タスク_開始+1)*タスク_進捗状況,0)+タスク_開始-1&gt;=DN$5)</formula>
    </cfRule>
    <cfRule type="expression" dxfId="105" priority="129" stopIfTrue="1">
      <formula>AND(タスク_終了&gt;=DN$5,タスク_開始&lt;#REF!)</formula>
    </cfRule>
  </conditionalFormatting>
  <conditionalFormatting sqref="D115">
    <cfRule type="dataBar" priority="114">
      <dataBar>
        <cfvo type="num" val="0"/>
        <cfvo type="num" val="1"/>
        <color theme="0" tint="-0.249977111117893"/>
      </dataBar>
      <extLst>
        <ext xmlns:x14="http://schemas.microsoft.com/office/spreadsheetml/2009/9/main" uri="{B025F937-C7B1-47D3-B67F-A62EFF666E3E}">
          <x14:id>{F4B655E1-8BB7-4CBE-B6F6-8C5BDFAAA4EB}</x14:id>
        </ext>
      </extLst>
    </cfRule>
  </conditionalFormatting>
  <conditionalFormatting sqref="I116:BL116 DJ116:DM116">
    <cfRule type="expression" dxfId="104" priority="110">
      <formula>AND(TODAY()&gt;=I$5,TODAY()&lt;J$5)</formula>
    </cfRule>
  </conditionalFormatting>
  <conditionalFormatting sqref="I116:BL116 DJ116:DM116">
    <cfRule type="expression" dxfId="103" priority="108">
      <formula>AND(タスク_開始&lt;=I$5,ROUNDDOWN((タスク_終了-タスク_開始+1)*タスク_進捗状況,0)+タスク_開始-1&gt;=I$5)</formula>
    </cfRule>
    <cfRule type="expression" dxfId="102" priority="109" stopIfTrue="1">
      <formula>AND(タスク_終了&gt;=I$5,タスク_開始&lt;J$5)</formula>
    </cfRule>
  </conditionalFormatting>
  <conditionalFormatting sqref="BM116:CG116">
    <cfRule type="expression" dxfId="101" priority="107">
      <formula>AND(TODAY()&gt;=BM$5,TODAY()&lt;BN$5)</formula>
    </cfRule>
  </conditionalFormatting>
  <conditionalFormatting sqref="BM116:CG116">
    <cfRule type="expression" dxfId="100" priority="105">
      <formula>AND(タスク_開始&lt;=BM$5,ROUNDDOWN((タスク_終了-タスク_開始+1)*タスク_進捗状況,0)+タスク_開始-1&gt;=BM$5)</formula>
    </cfRule>
    <cfRule type="expression" dxfId="99" priority="106" stopIfTrue="1">
      <formula>AND(タスク_終了&gt;=BM$5,タスク_開始&lt;BN$5)</formula>
    </cfRule>
  </conditionalFormatting>
  <conditionalFormatting sqref="CH116:DB116">
    <cfRule type="expression" dxfId="98" priority="104">
      <formula>AND(TODAY()&gt;=CH$5,TODAY()&lt;CI$5)</formula>
    </cfRule>
  </conditionalFormatting>
  <conditionalFormatting sqref="CH116:DB116">
    <cfRule type="expression" dxfId="97" priority="102">
      <formula>AND(タスク_開始&lt;=CH$5,ROUNDDOWN((タスク_終了-タスク_開始+1)*タスク_進捗状況,0)+タスク_開始-1&gt;=CH$5)</formula>
    </cfRule>
    <cfRule type="expression" dxfId="96" priority="103" stopIfTrue="1">
      <formula>AND(タスク_終了&gt;=CH$5,タスク_開始&lt;CI$5)</formula>
    </cfRule>
  </conditionalFormatting>
  <conditionalFormatting sqref="DC116:DI116">
    <cfRule type="expression" dxfId="95" priority="101">
      <formula>AND(TODAY()&gt;=DC$5,TODAY()&lt;DD$5)</formula>
    </cfRule>
  </conditionalFormatting>
  <conditionalFormatting sqref="DC116:DI116">
    <cfRule type="expression" dxfId="94" priority="99">
      <formula>AND(タスク_開始&lt;=DC$5,ROUNDDOWN((タスク_終了-タスク_開始+1)*タスク_進捗状況,0)+タスク_開始-1&gt;=DC$5)</formula>
    </cfRule>
    <cfRule type="expression" dxfId="93" priority="100" stopIfTrue="1">
      <formula>AND(タスク_終了&gt;=DC$5,タスク_開始&lt;DD$5)</formula>
    </cfRule>
  </conditionalFormatting>
  <conditionalFormatting sqref="DN116">
    <cfRule type="expression" dxfId="92" priority="111">
      <formula>AND(TODAY()&gt;=DN$5,TODAY()&lt;#REF!)</formula>
    </cfRule>
  </conditionalFormatting>
  <conditionalFormatting sqref="DN116">
    <cfRule type="expression" dxfId="91" priority="112">
      <formula>AND(タスク_開始&lt;=DN$5,ROUNDDOWN((タスク_終了-タスク_開始+1)*タスク_進捗状況,0)+タスク_開始-1&gt;=DN$5)</formula>
    </cfRule>
    <cfRule type="expression" dxfId="90" priority="113" stopIfTrue="1">
      <formula>AND(タスク_終了&gt;=DN$5,タスク_開始&lt;#REF!)</formula>
    </cfRule>
  </conditionalFormatting>
  <conditionalFormatting sqref="D116">
    <cfRule type="dataBar" priority="98">
      <dataBar>
        <cfvo type="num" val="0"/>
        <cfvo type="num" val="1"/>
        <color theme="0" tint="-0.249977111117893"/>
      </dataBar>
      <extLst>
        <ext xmlns:x14="http://schemas.microsoft.com/office/spreadsheetml/2009/9/main" uri="{B025F937-C7B1-47D3-B67F-A62EFF666E3E}">
          <x14:id>{0C9DE0E9-DCD6-40BD-9663-1BCC2E48DAFA}</x14:id>
        </ext>
      </extLst>
    </cfRule>
  </conditionalFormatting>
  <conditionalFormatting sqref="D117:D122">
    <cfRule type="dataBar" priority="91">
      <dataBar>
        <cfvo type="num" val="0"/>
        <cfvo type="num" val="1"/>
        <color theme="0" tint="-0.249977111117893"/>
      </dataBar>
      <extLst>
        <ext xmlns:x14="http://schemas.microsoft.com/office/spreadsheetml/2009/9/main" uri="{B025F937-C7B1-47D3-B67F-A62EFF666E3E}">
          <x14:id>{3EBEF679-17BC-4981-9D6F-DBFF84A938C2}</x14:id>
        </ext>
      </extLst>
    </cfRule>
  </conditionalFormatting>
  <conditionalFormatting sqref="I117:BL126 DJ117:DM126">
    <cfRule type="expression" dxfId="89" priority="94">
      <formula>AND(TODAY()&gt;=I$5,TODAY()&lt;J$5)</formula>
    </cfRule>
  </conditionalFormatting>
  <conditionalFormatting sqref="I117:BL126 DJ117:DM126">
    <cfRule type="expression" dxfId="88" priority="92">
      <formula>AND(タスク_開始&lt;=I$5,ROUNDDOWN((タスク_終了-タスク_開始+1)*タスク_進捗状況,0)+タスク_開始-1&gt;=I$5)</formula>
    </cfRule>
    <cfRule type="expression" dxfId="87" priority="93" stopIfTrue="1">
      <formula>AND(タスク_終了&gt;=I$5,タスク_開始&lt;J$5)</formula>
    </cfRule>
  </conditionalFormatting>
  <conditionalFormatting sqref="BM117:CG126">
    <cfRule type="expression" dxfId="86" priority="90">
      <formula>AND(TODAY()&gt;=BM$5,TODAY()&lt;BN$5)</formula>
    </cfRule>
  </conditionalFormatting>
  <conditionalFormatting sqref="BM117:CG126">
    <cfRule type="expression" dxfId="85" priority="88">
      <formula>AND(タスク_開始&lt;=BM$5,ROUNDDOWN((タスク_終了-タスク_開始+1)*タスク_進捗状況,0)+タスク_開始-1&gt;=BM$5)</formula>
    </cfRule>
    <cfRule type="expression" dxfId="84" priority="89" stopIfTrue="1">
      <formula>AND(タスク_終了&gt;=BM$5,タスク_開始&lt;BN$5)</formula>
    </cfRule>
  </conditionalFormatting>
  <conditionalFormatting sqref="CH117:DB126">
    <cfRule type="expression" dxfId="83" priority="87">
      <formula>AND(TODAY()&gt;=CH$5,TODAY()&lt;CI$5)</formula>
    </cfRule>
  </conditionalFormatting>
  <conditionalFormatting sqref="CH117:DB126">
    <cfRule type="expression" dxfId="82" priority="85">
      <formula>AND(タスク_開始&lt;=CH$5,ROUNDDOWN((タスク_終了-タスク_開始+1)*タスク_進捗状況,0)+タスク_開始-1&gt;=CH$5)</formula>
    </cfRule>
    <cfRule type="expression" dxfId="81" priority="86" stopIfTrue="1">
      <formula>AND(タスク_終了&gt;=CH$5,タスク_開始&lt;CI$5)</formula>
    </cfRule>
  </conditionalFormatting>
  <conditionalFormatting sqref="DC117:DI126">
    <cfRule type="expression" dxfId="80" priority="84">
      <formula>AND(TODAY()&gt;=DC$5,TODAY()&lt;DD$5)</formula>
    </cfRule>
  </conditionalFormatting>
  <conditionalFormatting sqref="DC117:DI126">
    <cfRule type="expression" dxfId="79" priority="82">
      <formula>AND(タスク_開始&lt;=DC$5,ROUNDDOWN((タスク_終了-タスク_開始+1)*タスク_進捗状況,0)+タスク_開始-1&gt;=DC$5)</formula>
    </cfRule>
    <cfRule type="expression" dxfId="78" priority="83" stopIfTrue="1">
      <formula>AND(タスク_終了&gt;=DC$5,タスク_開始&lt;DD$5)</formula>
    </cfRule>
  </conditionalFormatting>
  <conditionalFormatting sqref="DN117:DN126">
    <cfRule type="expression" dxfId="77" priority="95">
      <formula>AND(TODAY()&gt;=DN$5,TODAY()&lt;#REF!)</formula>
    </cfRule>
  </conditionalFormatting>
  <conditionalFormatting sqref="DN117:DN126">
    <cfRule type="expression" dxfId="76" priority="96">
      <formula>AND(タスク_開始&lt;=DN$5,ROUNDDOWN((タスク_終了-タスク_開始+1)*タスク_進捗状況,0)+タスク_開始-1&gt;=DN$5)</formula>
    </cfRule>
    <cfRule type="expression" dxfId="75" priority="97" stopIfTrue="1">
      <formula>AND(タスク_終了&gt;=DN$5,タスク_開始&lt;#REF!)</formula>
    </cfRule>
  </conditionalFormatting>
  <conditionalFormatting sqref="D123:D126">
    <cfRule type="dataBar" priority="81">
      <dataBar>
        <cfvo type="num" val="0"/>
        <cfvo type="num" val="1"/>
        <color theme="0" tint="-0.249977111117893"/>
      </dataBar>
      <extLst>
        <ext xmlns:x14="http://schemas.microsoft.com/office/spreadsheetml/2009/9/main" uri="{B025F937-C7B1-47D3-B67F-A62EFF666E3E}">
          <x14:id>{B6C2285E-61A1-4ADE-9031-12248F1785E5}</x14:id>
        </ext>
      </extLst>
    </cfRule>
  </conditionalFormatting>
  <conditionalFormatting sqref="I127:BL127 DJ127:DM127">
    <cfRule type="expression" dxfId="74" priority="77">
      <formula>AND(TODAY()&gt;=I$5,TODAY()&lt;J$5)</formula>
    </cfRule>
  </conditionalFormatting>
  <conditionalFormatting sqref="I127:BL127 DJ127:DM127">
    <cfRule type="expression" dxfId="73" priority="75">
      <formula>AND(タスク_開始&lt;=I$5,ROUNDDOWN((タスク_終了-タスク_開始+1)*タスク_進捗状況,0)+タスク_開始-1&gt;=I$5)</formula>
    </cfRule>
    <cfRule type="expression" dxfId="72" priority="76" stopIfTrue="1">
      <formula>AND(タスク_終了&gt;=I$5,タスク_開始&lt;J$5)</formula>
    </cfRule>
  </conditionalFormatting>
  <conditionalFormatting sqref="BM127:CG127">
    <cfRule type="expression" dxfId="71" priority="74">
      <formula>AND(TODAY()&gt;=BM$5,TODAY()&lt;BN$5)</formula>
    </cfRule>
  </conditionalFormatting>
  <conditionalFormatting sqref="BM127:CG127">
    <cfRule type="expression" dxfId="70" priority="72">
      <formula>AND(タスク_開始&lt;=BM$5,ROUNDDOWN((タスク_終了-タスク_開始+1)*タスク_進捗状況,0)+タスク_開始-1&gt;=BM$5)</formula>
    </cfRule>
    <cfRule type="expression" dxfId="69" priority="73" stopIfTrue="1">
      <formula>AND(タスク_終了&gt;=BM$5,タスク_開始&lt;BN$5)</formula>
    </cfRule>
  </conditionalFormatting>
  <conditionalFormatting sqref="CH127:DB127">
    <cfRule type="expression" dxfId="68" priority="71">
      <formula>AND(TODAY()&gt;=CH$5,TODAY()&lt;CI$5)</formula>
    </cfRule>
  </conditionalFormatting>
  <conditionalFormatting sqref="CH127:DB127">
    <cfRule type="expression" dxfId="67" priority="69">
      <formula>AND(タスク_開始&lt;=CH$5,ROUNDDOWN((タスク_終了-タスク_開始+1)*タスク_進捗状況,0)+タスク_開始-1&gt;=CH$5)</formula>
    </cfRule>
    <cfRule type="expression" dxfId="66" priority="70" stopIfTrue="1">
      <formula>AND(タスク_終了&gt;=CH$5,タスク_開始&lt;CI$5)</formula>
    </cfRule>
  </conditionalFormatting>
  <conditionalFormatting sqref="DC127:DI127">
    <cfRule type="expression" dxfId="65" priority="68">
      <formula>AND(TODAY()&gt;=DC$5,TODAY()&lt;DD$5)</formula>
    </cfRule>
  </conditionalFormatting>
  <conditionalFormatting sqref="DC127:DI127">
    <cfRule type="expression" dxfId="64" priority="66">
      <formula>AND(タスク_開始&lt;=DC$5,ROUNDDOWN((タスク_終了-タスク_開始+1)*タスク_進捗状況,0)+タスク_開始-1&gt;=DC$5)</formula>
    </cfRule>
    <cfRule type="expression" dxfId="63" priority="67" stopIfTrue="1">
      <formula>AND(タスク_終了&gt;=DC$5,タスク_開始&lt;DD$5)</formula>
    </cfRule>
  </conditionalFormatting>
  <conditionalFormatting sqref="DN127">
    <cfRule type="expression" dxfId="62" priority="78">
      <formula>AND(TODAY()&gt;=DN$5,TODAY()&lt;#REF!)</formula>
    </cfRule>
  </conditionalFormatting>
  <conditionalFormatting sqref="DN127">
    <cfRule type="expression" dxfId="61" priority="79">
      <formula>AND(タスク_開始&lt;=DN$5,ROUNDDOWN((タスク_終了-タスク_開始+1)*タスク_進捗状況,0)+タスク_開始-1&gt;=DN$5)</formula>
    </cfRule>
    <cfRule type="expression" dxfId="60" priority="80" stopIfTrue="1">
      <formula>AND(タスク_終了&gt;=DN$5,タスク_開始&lt;#REF!)</formula>
    </cfRule>
  </conditionalFormatting>
  <conditionalFormatting sqref="D127">
    <cfRule type="dataBar" priority="65">
      <dataBar>
        <cfvo type="num" val="0"/>
        <cfvo type="num" val="1"/>
        <color theme="0" tint="-0.249977111117893"/>
      </dataBar>
      <extLst>
        <ext xmlns:x14="http://schemas.microsoft.com/office/spreadsheetml/2009/9/main" uri="{B025F937-C7B1-47D3-B67F-A62EFF666E3E}">
          <x14:id>{F91CFDC2-5A9F-4941-AA32-421D4C44D485}</x14:id>
        </ext>
      </extLst>
    </cfRule>
  </conditionalFormatting>
  <conditionalFormatting sqref="I128:BL128 DJ128:DM128">
    <cfRule type="expression" dxfId="59" priority="61">
      <formula>AND(TODAY()&gt;=I$5,TODAY()&lt;J$5)</formula>
    </cfRule>
  </conditionalFormatting>
  <conditionalFormatting sqref="I128:BL128 DJ128:DM128">
    <cfRule type="expression" dxfId="58" priority="59">
      <formula>AND(タスク_開始&lt;=I$5,ROUNDDOWN((タスク_終了-タスク_開始+1)*タスク_進捗状況,0)+タスク_開始-1&gt;=I$5)</formula>
    </cfRule>
    <cfRule type="expression" dxfId="57" priority="60" stopIfTrue="1">
      <formula>AND(タスク_終了&gt;=I$5,タスク_開始&lt;J$5)</formula>
    </cfRule>
  </conditionalFormatting>
  <conditionalFormatting sqref="BM128:CG128">
    <cfRule type="expression" dxfId="56" priority="58">
      <formula>AND(TODAY()&gt;=BM$5,TODAY()&lt;BN$5)</formula>
    </cfRule>
  </conditionalFormatting>
  <conditionalFormatting sqref="BM128:CG128">
    <cfRule type="expression" dxfId="55" priority="56">
      <formula>AND(タスク_開始&lt;=BM$5,ROUNDDOWN((タスク_終了-タスク_開始+1)*タスク_進捗状況,0)+タスク_開始-1&gt;=BM$5)</formula>
    </cfRule>
    <cfRule type="expression" dxfId="54" priority="57" stopIfTrue="1">
      <formula>AND(タスク_終了&gt;=BM$5,タスク_開始&lt;BN$5)</formula>
    </cfRule>
  </conditionalFormatting>
  <conditionalFormatting sqref="CH128:DB128">
    <cfRule type="expression" dxfId="53" priority="55">
      <formula>AND(TODAY()&gt;=CH$5,TODAY()&lt;CI$5)</formula>
    </cfRule>
  </conditionalFormatting>
  <conditionalFormatting sqref="CH128:DB128">
    <cfRule type="expression" dxfId="52" priority="53">
      <formula>AND(タスク_開始&lt;=CH$5,ROUNDDOWN((タスク_終了-タスク_開始+1)*タスク_進捗状況,0)+タスク_開始-1&gt;=CH$5)</formula>
    </cfRule>
    <cfRule type="expression" dxfId="51" priority="54" stopIfTrue="1">
      <formula>AND(タスク_終了&gt;=CH$5,タスク_開始&lt;CI$5)</formula>
    </cfRule>
  </conditionalFormatting>
  <conditionalFormatting sqref="DC128:DI128">
    <cfRule type="expression" dxfId="50" priority="52">
      <formula>AND(TODAY()&gt;=DC$5,TODAY()&lt;DD$5)</formula>
    </cfRule>
  </conditionalFormatting>
  <conditionalFormatting sqref="DC128:DI128">
    <cfRule type="expression" dxfId="49" priority="50">
      <formula>AND(タスク_開始&lt;=DC$5,ROUNDDOWN((タスク_終了-タスク_開始+1)*タスク_進捗状況,0)+タスク_開始-1&gt;=DC$5)</formula>
    </cfRule>
    <cfRule type="expression" dxfId="48" priority="51" stopIfTrue="1">
      <formula>AND(タスク_終了&gt;=DC$5,タスク_開始&lt;DD$5)</formula>
    </cfRule>
  </conditionalFormatting>
  <conditionalFormatting sqref="DN128">
    <cfRule type="expression" dxfId="47" priority="62">
      <formula>AND(TODAY()&gt;=DN$5,TODAY()&lt;#REF!)</formula>
    </cfRule>
  </conditionalFormatting>
  <conditionalFormatting sqref="DN128">
    <cfRule type="expression" dxfId="46" priority="63">
      <formula>AND(タスク_開始&lt;=DN$5,ROUNDDOWN((タスク_終了-タスク_開始+1)*タスク_進捗状況,0)+タスク_開始-1&gt;=DN$5)</formula>
    </cfRule>
    <cfRule type="expression" dxfId="45" priority="64" stopIfTrue="1">
      <formula>AND(タスク_終了&gt;=DN$5,タスク_開始&lt;#REF!)</formula>
    </cfRule>
  </conditionalFormatting>
  <conditionalFormatting sqref="D128">
    <cfRule type="dataBar" priority="49">
      <dataBar>
        <cfvo type="num" val="0"/>
        <cfvo type="num" val="1"/>
        <color theme="0" tint="-0.249977111117893"/>
      </dataBar>
      <extLst>
        <ext xmlns:x14="http://schemas.microsoft.com/office/spreadsheetml/2009/9/main" uri="{B025F937-C7B1-47D3-B67F-A62EFF666E3E}">
          <x14:id>{51E7C13B-CDB6-48C1-8074-ACE6DE35BBE8}</x14:id>
        </ext>
      </extLst>
    </cfRule>
  </conditionalFormatting>
  <conditionalFormatting sqref="I129:BL129 DJ129:DM129">
    <cfRule type="expression" dxfId="44" priority="45">
      <formula>AND(TODAY()&gt;=I$5,TODAY()&lt;J$5)</formula>
    </cfRule>
  </conditionalFormatting>
  <conditionalFormatting sqref="I129:BL129 DJ129:DM129">
    <cfRule type="expression" dxfId="43" priority="43">
      <formula>AND(タスク_開始&lt;=I$5,ROUNDDOWN((タスク_終了-タスク_開始+1)*タスク_進捗状況,0)+タスク_開始-1&gt;=I$5)</formula>
    </cfRule>
    <cfRule type="expression" dxfId="42" priority="44" stopIfTrue="1">
      <formula>AND(タスク_終了&gt;=I$5,タスク_開始&lt;J$5)</formula>
    </cfRule>
  </conditionalFormatting>
  <conditionalFormatting sqref="BM129:CG129">
    <cfRule type="expression" dxfId="41" priority="42">
      <formula>AND(TODAY()&gt;=BM$5,TODAY()&lt;BN$5)</formula>
    </cfRule>
  </conditionalFormatting>
  <conditionalFormatting sqref="BM129:CG129">
    <cfRule type="expression" dxfId="40" priority="40">
      <formula>AND(タスク_開始&lt;=BM$5,ROUNDDOWN((タスク_終了-タスク_開始+1)*タスク_進捗状況,0)+タスク_開始-1&gt;=BM$5)</formula>
    </cfRule>
    <cfRule type="expression" dxfId="39" priority="41" stopIfTrue="1">
      <formula>AND(タスク_終了&gt;=BM$5,タスク_開始&lt;BN$5)</formula>
    </cfRule>
  </conditionalFormatting>
  <conditionalFormatting sqref="CH129:DB129">
    <cfRule type="expression" dxfId="38" priority="39">
      <formula>AND(TODAY()&gt;=CH$5,TODAY()&lt;CI$5)</formula>
    </cfRule>
  </conditionalFormatting>
  <conditionalFormatting sqref="CH129:DB129">
    <cfRule type="expression" dxfId="37" priority="37">
      <formula>AND(タスク_開始&lt;=CH$5,ROUNDDOWN((タスク_終了-タスク_開始+1)*タスク_進捗状況,0)+タスク_開始-1&gt;=CH$5)</formula>
    </cfRule>
    <cfRule type="expression" dxfId="36" priority="38" stopIfTrue="1">
      <formula>AND(タスク_終了&gt;=CH$5,タスク_開始&lt;CI$5)</formula>
    </cfRule>
  </conditionalFormatting>
  <conditionalFormatting sqref="DC129:DI129">
    <cfRule type="expression" dxfId="35" priority="36">
      <formula>AND(TODAY()&gt;=DC$5,TODAY()&lt;DD$5)</formula>
    </cfRule>
  </conditionalFormatting>
  <conditionalFormatting sqref="DC129:DI129">
    <cfRule type="expression" dxfId="34" priority="34">
      <formula>AND(タスク_開始&lt;=DC$5,ROUNDDOWN((タスク_終了-タスク_開始+1)*タスク_進捗状況,0)+タスク_開始-1&gt;=DC$5)</formula>
    </cfRule>
    <cfRule type="expression" dxfId="33" priority="35" stopIfTrue="1">
      <formula>AND(タスク_終了&gt;=DC$5,タスク_開始&lt;DD$5)</formula>
    </cfRule>
  </conditionalFormatting>
  <conditionalFormatting sqref="DN129">
    <cfRule type="expression" dxfId="32" priority="46">
      <formula>AND(TODAY()&gt;=DN$5,TODAY()&lt;#REF!)</formula>
    </cfRule>
  </conditionalFormatting>
  <conditionalFormatting sqref="DN129">
    <cfRule type="expression" dxfId="31" priority="47">
      <formula>AND(タスク_開始&lt;=DN$5,ROUNDDOWN((タスク_終了-タスク_開始+1)*タスク_進捗状況,0)+タスク_開始-1&gt;=DN$5)</formula>
    </cfRule>
    <cfRule type="expression" dxfId="30" priority="48" stopIfTrue="1">
      <formula>AND(タスク_終了&gt;=DN$5,タスク_開始&lt;#REF!)</formula>
    </cfRule>
  </conditionalFormatting>
  <conditionalFormatting sqref="D129">
    <cfRule type="dataBar" priority="33">
      <dataBar>
        <cfvo type="num" val="0"/>
        <cfvo type="num" val="1"/>
        <color theme="0" tint="-0.249977111117893"/>
      </dataBar>
      <extLst>
        <ext xmlns:x14="http://schemas.microsoft.com/office/spreadsheetml/2009/9/main" uri="{B025F937-C7B1-47D3-B67F-A62EFF666E3E}">
          <x14:id>{F92A3C4B-132A-4A43-9C29-A5A1702CDB03}</x14:id>
        </ext>
      </extLst>
    </cfRule>
  </conditionalFormatting>
  <conditionalFormatting sqref="I130:BL130 DJ130:DM130">
    <cfRule type="expression" dxfId="29" priority="29">
      <formula>AND(TODAY()&gt;=I$5,TODAY()&lt;J$5)</formula>
    </cfRule>
  </conditionalFormatting>
  <conditionalFormatting sqref="I130:BL130 DJ130:DM130">
    <cfRule type="expression" dxfId="28" priority="27">
      <formula>AND(タスク_開始&lt;=I$5,ROUNDDOWN((タスク_終了-タスク_開始+1)*タスク_進捗状況,0)+タスク_開始-1&gt;=I$5)</formula>
    </cfRule>
    <cfRule type="expression" dxfId="27" priority="28" stopIfTrue="1">
      <formula>AND(タスク_終了&gt;=I$5,タスク_開始&lt;J$5)</formula>
    </cfRule>
  </conditionalFormatting>
  <conditionalFormatting sqref="BM130:CG130">
    <cfRule type="expression" dxfId="26" priority="26">
      <formula>AND(TODAY()&gt;=BM$5,TODAY()&lt;BN$5)</formula>
    </cfRule>
  </conditionalFormatting>
  <conditionalFormatting sqref="BM130:CG130">
    <cfRule type="expression" dxfId="25" priority="24">
      <formula>AND(タスク_開始&lt;=BM$5,ROUNDDOWN((タスク_終了-タスク_開始+1)*タスク_進捗状況,0)+タスク_開始-1&gt;=BM$5)</formula>
    </cfRule>
    <cfRule type="expression" dxfId="24" priority="25" stopIfTrue="1">
      <formula>AND(タスク_終了&gt;=BM$5,タスク_開始&lt;BN$5)</formula>
    </cfRule>
  </conditionalFormatting>
  <conditionalFormatting sqref="CH130:DB130">
    <cfRule type="expression" dxfId="23" priority="23">
      <formula>AND(TODAY()&gt;=CH$5,TODAY()&lt;CI$5)</formula>
    </cfRule>
  </conditionalFormatting>
  <conditionalFormatting sqref="CH130:DB130">
    <cfRule type="expression" dxfId="22" priority="21">
      <formula>AND(タスク_開始&lt;=CH$5,ROUNDDOWN((タスク_終了-タスク_開始+1)*タスク_進捗状況,0)+タスク_開始-1&gt;=CH$5)</formula>
    </cfRule>
    <cfRule type="expression" dxfId="21" priority="22" stopIfTrue="1">
      <formula>AND(タスク_終了&gt;=CH$5,タスク_開始&lt;CI$5)</formula>
    </cfRule>
  </conditionalFormatting>
  <conditionalFormatting sqref="DC130:DI130">
    <cfRule type="expression" dxfId="20" priority="20">
      <formula>AND(TODAY()&gt;=DC$5,TODAY()&lt;DD$5)</formula>
    </cfRule>
  </conditionalFormatting>
  <conditionalFormatting sqref="DC130:DI130">
    <cfRule type="expression" dxfId="19" priority="18">
      <formula>AND(タスク_開始&lt;=DC$5,ROUNDDOWN((タスク_終了-タスク_開始+1)*タスク_進捗状況,0)+タスク_開始-1&gt;=DC$5)</formula>
    </cfRule>
    <cfRule type="expression" dxfId="18" priority="19" stopIfTrue="1">
      <formula>AND(タスク_終了&gt;=DC$5,タスク_開始&lt;DD$5)</formula>
    </cfRule>
  </conditionalFormatting>
  <conditionalFormatting sqref="DN130">
    <cfRule type="expression" dxfId="17" priority="30">
      <formula>AND(TODAY()&gt;=DN$5,TODAY()&lt;#REF!)</formula>
    </cfRule>
  </conditionalFormatting>
  <conditionalFormatting sqref="DN130">
    <cfRule type="expression" dxfId="16" priority="31">
      <formula>AND(タスク_開始&lt;=DN$5,ROUNDDOWN((タスク_終了-タスク_開始+1)*タスク_進捗状況,0)+タスク_開始-1&gt;=DN$5)</formula>
    </cfRule>
    <cfRule type="expression" dxfId="15" priority="32" stopIfTrue="1">
      <formula>AND(タスク_終了&gt;=DN$5,タスク_開始&lt;#REF!)</formula>
    </cfRule>
  </conditionalFormatting>
  <conditionalFormatting sqref="D130">
    <cfRule type="dataBar" priority="17">
      <dataBar>
        <cfvo type="num" val="0"/>
        <cfvo type="num" val="1"/>
        <color theme="0" tint="-0.249977111117893"/>
      </dataBar>
      <extLst>
        <ext xmlns:x14="http://schemas.microsoft.com/office/spreadsheetml/2009/9/main" uri="{B025F937-C7B1-47D3-B67F-A62EFF666E3E}">
          <x14:id>{E006E573-D292-4D1E-8354-717240068542}</x14:id>
        </ext>
      </extLst>
    </cfRule>
  </conditionalFormatting>
  <conditionalFormatting sqref="I131:BL131 DJ131:DM131">
    <cfRule type="expression" dxfId="14" priority="13">
      <formula>AND(TODAY()&gt;=I$5,TODAY()&lt;J$5)</formula>
    </cfRule>
  </conditionalFormatting>
  <conditionalFormatting sqref="I131:BL131 DJ131:DM131">
    <cfRule type="expression" dxfId="13" priority="11">
      <formula>AND(タスク_開始&lt;=I$5,ROUNDDOWN((タスク_終了-タスク_開始+1)*タスク_進捗状況,0)+タスク_開始-1&gt;=I$5)</formula>
    </cfRule>
    <cfRule type="expression" dxfId="12" priority="12" stopIfTrue="1">
      <formula>AND(タスク_終了&gt;=I$5,タスク_開始&lt;J$5)</formula>
    </cfRule>
  </conditionalFormatting>
  <conditionalFormatting sqref="BM131:CG131">
    <cfRule type="expression" dxfId="11" priority="10">
      <formula>AND(TODAY()&gt;=BM$5,TODAY()&lt;BN$5)</formula>
    </cfRule>
  </conditionalFormatting>
  <conditionalFormatting sqref="BM131:CG131">
    <cfRule type="expression" dxfId="10" priority="8">
      <formula>AND(タスク_開始&lt;=BM$5,ROUNDDOWN((タスク_終了-タスク_開始+1)*タスク_進捗状況,0)+タスク_開始-1&gt;=BM$5)</formula>
    </cfRule>
    <cfRule type="expression" dxfId="9" priority="9" stopIfTrue="1">
      <formula>AND(タスク_終了&gt;=BM$5,タスク_開始&lt;BN$5)</formula>
    </cfRule>
  </conditionalFormatting>
  <conditionalFormatting sqref="CH131:DB131">
    <cfRule type="expression" dxfId="8" priority="7">
      <formula>AND(TODAY()&gt;=CH$5,TODAY()&lt;CI$5)</formula>
    </cfRule>
  </conditionalFormatting>
  <conditionalFormatting sqref="CH131:DB131">
    <cfRule type="expression" dxfId="7" priority="5">
      <formula>AND(タスク_開始&lt;=CH$5,ROUNDDOWN((タスク_終了-タスク_開始+1)*タスク_進捗状況,0)+タスク_開始-1&gt;=CH$5)</formula>
    </cfRule>
    <cfRule type="expression" dxfId="6" priority="6" stopIfTrue="1">
      <formula>AND(タスク_終了&gt;=CH$5,タスク_開始&lt;CI$5)</formula>
    </cfRule>
  </conditionalFormatting>
  <conditionalFormatting sqref="DC131:DI131">
    <cfRule type="expression" dxfId="5" priority="4">
      <formula>AND(TODAY()&gt;=DC$5,TODAY()&lt;DD$5)</formula>
    </cfRule>
  </conditionalFormatting>
  <conditionalFormatting sqref="DC131:DI131">
    <cfRule type="expression" dxfId="4" priority="2">
      <formula>AND(タスク_開始&lt;=DC$5,ROUNDDOWN((タスク_終了-タスク_開始+1)*タスク_進捗状況,0)+タスク_開始-1&gt;=DC$5)</formula>
    </cfRule>
    <cfRule type="expression" dxfId="3" priority="3" stopIfTrue="1">
      <formula>AND(タスク_終了&gt;=DC$5,タスク_開始&lt;DD$5)</formula>
    </cfRule>
  </conditionalFormatting>
  <conditionalFormatting sqref="DN131">
    <cfRule type="expression" dxfId="2" priority="14">
      <formula>AND(TODAY()&gt;=DN$5,TODAY()&lt;#REF!)</formula>
    </cfRule>
  </conditionalFormatting>
  <conditionalFormatting sqref="DN131">
    <cfRule type="expression" dxfId="1" priority="15">
      <formula>AND(タスク_開始&lt;=DN$5,ROUNDDOWN((タスク_終了-タスク_開始+1)*タスク_進捗状況,0)+タスク_開始-1&gt;=DN$5)</formula>
    </cfRule>
    <cfRule type="expression" dxfId="0" priority="16" stopIfTrue="1">
      <formula>AND(タスク_終了&gt;=DN$5,タスク_開始&lt;#REF!)</formula>
    </cfRule>
  </conditionalFormatting>
  <conditionalFormatting sqref="D131">
    <cfRule type="dataBar" priority="1">
      <dataBar>
        <cfvo type="num" val="0"/>
        <cfvo type="num" val="1"/>
        <color theme="0" tint="-0.249977111117893"/>
      </dataBar>
      <extLst>
        <ext xmlns:x14="http://schemas.microsoft.com/office/spreadsheetml/2009/9/main" uri="{B025F937-C7B1-47D3-B67F-A62EFF666E3E}">
          <x14:id>{5CB7A22D-C9EA-4125-AD3E-5D19E24ACE00}</x14:id>
        </ext>
      </extLst>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56" max="16383" man="1"/>
  </rowBreaks>
  <colBreaks count="1" manualBreakCount="1">
    <brk id="1" max="1048575" man="1"/>
  </colBreak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D7:D28 D30:D35 D43:D48</xm:sqref>
        </x14:conditionalFormatting>
        <x14:conditionalFormatting xmlns:xm="http://schemas.microsoft.com/office/excel/2006/main">
          <x14:cfRule type="dataBar" id="{97D24A29-56E5-4171-8BD7-EBEA659962A8}">
            <x14:dataBar minLength="0" maxLength="100" gradient="0">
              <x14:cfvo type="num">
                <xm:f>0</xm:f>
              </x14:cfvo>
              <x14:cfvo type="num">
                <xm:f>1</xm:f>
              </x14:cfvo>
              <x14:negativeFillColor rgb="FFFF0000"/>
              <x14:axisColor rgb="FF000000"/>
            </x14:dataBar>
          </x14:cfRule>
          <xm:sqref>D29</xm:sqref>
        </x14:conditionalFormatting>
        <x14:conditionalFormatting xmlns:xm="http://schemas.microsoft.com/office/excel/2006/main">
          <x14:cfRule type="dataBar" id="{B790AA4F-4644-414E-BBC6-A2A480D0F2FF}">
            <x14:dataBar minLength="0" maxLength="100" gradient="0">
              <x14:cfvo type="num">
                <xm:f>0</xm:f>
              </x14:cfvo>
              <x14:cfvo type="num">
                <xm:f>1</xm:f>
              </x14:cfvo>
              <x14:negativeFillColor rgb="FFFF0000"/>
              <x14:axisColor rgb="FF000000"/>
            </x14:dataBar>
          </x14:cfRule>
          <xm:sqref>D36:D42</xm:sqref>
        </x14:conditionalFormatting>
        <x14:conditionalFormatting xmlns:xm="http://schemas.microsoft.com/office/excel/2006/main">
          <x14:cfRule type="dataBar" id="{E8474A95-B536-42B2-B008-D7898D552E67}">
            <x14:dataBar minLength="0" maxLength="100" gradient="0">
              <x14:cfvo type="num">
                <xm:f>0</xm:f>
              </x14:cfvo>
              <x14:cfvo type="num">
                <xm:f>1</xm:f>
              </x14:cfvo>
              <x14:negativeFillColor rgb="FFFF0000"/>
              <x14:axisColor rgb="FF000000"/>
            </x14:dataBar>
          </x14:cfRule>
          <xm:sqref>D49:D55</xm:sqref>
        </x14:conditionalFormatting>
        <x14:conditionalFormatting xmlns:xm="http://schemas.microsoft.com/office/excel/2006/main">
          <x14:cfRule type="dataBar" id="{95A28F59-90C1-455D-BD1D-DB78220E151D}">
            <x14:dataBar minLength="0" maxLength="100" gradient="0">
              <x14:cfvo type="num">
                <xm:f>0</xm:f>
              </x14:cfvo>
              <x14:cfvo type="num">
                <xm:f>1</xm:f>
              </x14:cfvo>
              <x14:negativeFillColor rgb="FFFF0000"/>
              <x14:axisColor rgb="FF000000"/>
            </x14:dataBar>
          </x14:cfRule>
          <xm:sqref>D56:D61</xm:sqref>
        </x14:conditionalFormatting>
        <x14:conditionalFormatting xmlns:xm="http://schemas.microsoft.com/office/excel/2006/main">
          <x14:cfRule type="dataBar" id="{98E65DB3-25AD-422E-9321-4987376E4D2C}">
            <x14:dataBar minLength="0" maxLength="100" gradient="0">
              <x14:cfvo type="num">
                <xm:f>0</xm:f>
              </x14:cfvo>
              <x14:cfvo type="num">
                <xm:f>1</xm:f>
              </x14:cfvo>
              <x14:negativeFillColor rgb="FFFF0000"/>
              <x14:axisColor rgb="FF000000"/>
            </x14:dataBar>
          </x14:cfRule>
          <xm:sqref>D62:D65</xm:sqref>
        </x14:conditionalFormatting>
        <x14:conditionalFormatting xmlns:xm="http://schemas.microsoft.com/office/excel/2006/main">
          <x14:cfRule type="dataBar" id="{6AA59584-9A21-4554-8441-FEE4AC198F5C}">
            <x14:dataBar minLength="0" maxLength="100" gradient="0">
              <x14:cfvo type="num">
                <xm:f>0</xm:f>
              </x14:cfvo>
              <x14:cfvo type="num">
                <xm:f>1</xm:f>
              </x14:cfvo>
              <x14:negativeFillColor rgb="FFFF0000"/>
              <x14:axisColor rgb="FF000000"/>
            </x14:dataBar>
          </x14:cfRule>
          <xm:sqref>D66:D71</xm:sqref>
        </x14:conditionalFormatting>
        <x14:conditionalFormatting xmlns:xm="http://schemas.microsoft.com/office/excel/2006/main">
          <x14:cfRule type="dataBar" id="{75415003-401B-4ED7-B49E-DB70FCA026E9}">
            <x14:dataBar minLength="0" maxLength="100" gradient="0">
              <x14:cfvo type="num">
                <xm:f>0</xm:f>
              </x14:cfvo>
              <x14:cfvo type="num">
                <xm:f>1</xm:f>
              </x14:cfvo>
              <x14:negativeFillColor rgb="FFFF0000"/>
              <x14:axisColor rgb="FF000000"/>
            </x14:dataBar>
          </x14:cfRule>
          <xm:sqref>D72:D75</xm:sqref>
        </x14:conditionalFormatting>
        <x14:conditionalFormatting xmlns:xm="http://schemas.microsoft.com/office/excel/2006/main">
          <x14:cfRule type="dataBar" id="{52C2D365-DBEE-4187-8DB9-16852FF1B908}">
            <x14:dataBar minLength="0" maxLength="100" gradient="0">
              <x14:cfvo type="num">
                <xm:f>0</xm:f>
              </x14:cfvo>
              <x14:cfvo type="num">
                <xm:f>1</xm:f>
              </x14:cfvo>
              <x14:negativeFillColor rgb="FFFF0000"/>
              <x14:axisColor rgb="FF000000"/>
            </x14:dataBar>
          </x14:cfRule>
          <xm:sqref>D76:D78</xm:sqref>
        </x14:conditionalFormatting>
        <x14:conditionalFormatting xmlns:xm="http://schemas.microsoft.com/office/excel/2006/main">
          <x14:cfRule type="dataBar" id="{8E02724F-1AB3-46A0-92E0-E9376C69F10C}">
            <x14:dataBar minLength="0" maxLength="100" gradient="0">
              <x14:cfvo type="num">
                <xm:f>0</xm:f>
              </x14:cfvo>
              <x14:cfvo type="num">
                <xm:f>1</xm:f>
              </x14:cfvo>
              <x14:negativeFillColor rgb="FFFF0000"/>
              <x14:axisColor rgb="FF000000"/>
            </x14:dataBar>
          </x14:cfRule>
          <xm:sqref>D79:D84</xm:sqref>
        </x14:conditionalFormatting>
        <x14:conditionalFormatting xmlns:xm="http://schemas.microsoft.com/office/excel/2006/main">
          <x14:cfRule type="dataBar" id="{123B4575-1766-4CA2-BB5F-CE27FFF20DE6}">
            <x14:dataBar minLength="0" maxLength="100" gradient="0">
              <x14:cfvo type="num">
                <xm:f>0</xm:f>
              </x14:cfvo>
              <x14:cfvo type="num">
                <xm:f>1</xm:f>
              </x14:cfvo>
              <x14:negativeFillColor rgb="FFFF0000"/>
              <x14:axisColor rgb="FF000000"/>
            </x14:dataBar>
          </x14:cfRule>
          <xm:sqref>D85:D88</xm:sqref>
        </x14:conditionalFormatting>
        <x14:conditionalFormatting xmlns:xm="http://schemas.microsoft.com/office/excel/2006/main">
          <x14:cfRule type="dataBar" id="{3A66BB14-F033-489A-93D5-BA2D934BA7B8}">
            <x14:dataBar minLength="0" maxLength="100" gradient="0">
              <x14:cfvo type="num">
                <xm:f>0</xm:f>
              </x14:cfvo>
              <x14:cfvo type="num">
                <xm:f>1</xm:f>
              </x14:cfvo>
              <x14:negativeFillColor rgb="FFFF0000"/>
              <x14:axisColor rgb="FF000000"/>
            </x14:dataBar>
          </x14:cfRule>
          <xm:sqref>D89</xm:sqref>
        </x14:conditionalFormatting>
        <x14:conditionalFormatting xmlns:xm="http://schemas.microsoft.com/office/excel/2006/main">
          <x14:cfRule type="dataBar" id="{31AA5329-484C-4528-8521-4B9236EA9405}">
            <x14:dataBar minLength="0" maxLength="100" gradient="0">
              <x14:cfvo type="num">
                <xm:f>0</xm:f>
              </x14:cfvo>
              <x14:cfvo type="num">
                <xm:f>1</xm:f>
              </x14:cfvo>
              <x14:negativeFillColor rgb="FFFF0000"/>
              <x14:axisColor rgb="FF000000"/>
            </x14:dataBar>
          </x14:cfRule>
          <xm:sqref>D90:D95</xm:sqref>
        </x14:conditionalFormatting>
        <x14:conditionalFormatting xmlns:xm="http://schemas.microsoft.com/office/excel/2006/main">
          <x14:cfRule type="dataBar" id="{C0A40DD8-C14D-4C11-9BCF-28C99D5CDD60}">
            <x14:dataBar minLength="0" maxLength="100" gradient="0">
              <x14:cfvo type="num">
                <xm:f>0</xm:f>
              </x14:cfvo>
              <x14:cfvo type="num">
                <xm:f>1</xm:f>
              </x14:cfvo>
              <x14:negativeFillColor rgb="FFFF0000"/>
              <x14:axisColor rgb="FF000000"/>
            </x14:dataBar>
          </x14:cfRule>
          <xm:sqref>D96:D99</xm:sqref>
        </x14:conditionalFormatting>
        <x14:conditionalFormatting xmlns:xm="http://schemas.microsoft.com/office/excel/2006/main">
          <x14:cfRule type="dataBar" id="{DC7F0698-F903-426B-94F7-8A361C3BDD4C}">
            <x14:dataBar minLength="0" maxLength="100" gradient="0">
              <x14:cfvo type="num">
                <xm:f>0</xm:f>
              </x14:cfvo>
              <x14:cfvo type="num">
                <xm:f>1</xm:f>
              </x14:cfvo>
              <x14:negativeFillColor rgb="FFFF0000"/>
              <x14:axisColor rgb="FF000000"/>
            </x14:dataBar>
          </x14:cfRule>
          <xm:sqref>D100</xm:sqref>
        </x14:conditionalFormatting>
        <x14:conditionalFormatting xmlns:xm="http://schemas.microsoft.com/office/excel/2006/main">
          <x14:cfRule type="dataBar" id="{8A2CBD53-AEC6-4F6C-B1B5-F94F3764C094}">
            <x14:dataBar minLength="0" maxLength="100" gradient="0">
              <x14:cfvo type="num">
                <xm:f>0</xm:f>
              </x14:cfvo>
              <x14:cfvo type="num">
                <xm:f>1</xm:f>
              </x14:cfvo>
              <x14:negativeFillColor rgb="FFFF0000"/>
              <x14:axisColor rgb="FF000000"/>
            </x14:dataBar>
          </x14:cfRule>
          <xm:sqref>D101</xm:sqref>
        </x14:conditionalFormatting>
        <x14:conditionalFormatting xmlns:xm="http://schemas.microsoft.com/office/excel/2006/main">
          <x14:cfRule type="dataBar" id="{F8E3C242-C981-45D0-94B6-693D93B3C78F}">
            <x14:dataBar minLength="0" maxLength="100" gradient="0">
              <x14:cfvo type="num">
                <xm:f>0</xm:f>
              </x14:cfvo>
              <x14:cfvo type="num">
                <xm:f>1</xm:f>
              </x14:cfvo>
              <x14:negativeFillColor rgb="FFFF0000"/>
              <x14:axisColor rgb="FF000000"/>
            </x14:dataBar>
          </x14:cfRule>
          <xm:sqref>D102</xm:sqref>
        </x14:conditionalFormatting>
        <x14:conditionalFormatting xmlns:xm="http://schemas.microsoft.com/office/excel/2006/main">
          <x14:cfRule type="dataBar" id="{C3FE3527-615A-40E6-8EE5-C913145F09A7}">
            <x14:dataBar minLength="0" maxLength="100" gradient="0">
              <x14:cfvo type="num">
                <xm:f>0</xm:f>
              </x14:cfvo>
              <x14:cfvo type="num">
                <xm:f>1</xm:f>
              </x14:cfvo>
              <x14:negativeFillColor rgb="FFFF0000"/>
              <x14:axisColor rgb="FF000000"/>
            </x14:dataBar>
          </x14:cfRule>
          <xm:sqref>D103:D108</xm:sqref>
        </x14:conditionalFormatting>
        <x14:conditionalFormatting xmlns:xm="http://schemas.microsoft.com/office/excel/2006/main">
          <x14:cfRule type="dataBar" id="{5DA02524-FB15-4EA5-B925-047E51EE8112}">
            <x14:dataBar minLength="0" maxLength="100" gradient="0">
              <x14:cfvo type="num">
                <xm:f>0</xm:f>
              </x14:cfvo>
              <x14:cfvo type="num">
                <xm:f>1</xm:f>
              </x14:cfvo>
              <x14:negativeFillColor rgb="FFFF0000"/>
              <x14:axisColor rgb="FF000000"/>
            </x14:dataBar>
          </x14:cfRule>
          <xm:sqref>D109:D112</xm:sqref>
        </x14:conditionalFormatting>
        <x14:conditionalFormatting xmlns:xm="http://schemas.microsoft.com/office/excel/2006/main">
          <x14:cfRule type="dataBar" id="{0E147390-0713-42AD-99D6-90EF97DD0371}">
            <x14:dataBar minLength="0" maxLength="100" gradient="0">
              <x14:cfvo type="num">
                <xm:f>0</xm:f>
              </x14:cfvo>
              <x14:cfvo type="num">
                <xm:f>1</xm:f>
              </x14:cfvo>
              <x14:negativeFillColor rgb="FFFF0000"/>
              <x14:axisColor rgb="FF000000"/>
            </x14:dataBar>
          </x14:cfRule>
          <xm:sqref>D113</xm:sqref>
        </x14:conditionalFormatting>
        <x14:conditionalFormatting xmlns:xm="http://schemas.microsoft.com/office/excel/2006/main">
          <x14:cfRule type="dataBar" id="{07968493-FBA3-4F1E-9D0F-193292CB28DF}">
            <x14:dataBar minLength="0" maxLength="100" gradient="0">
              <x14:cfvo type="num">
                <xm:f>0</xm:f>
              </x14:cfvo>
              <x14:cfvo type="num">
                <xm:f>1</xm:f>
              </x14:cfvo>
              <x14:negativeFillColor rgb="FFFF0000"/>
              <x14:axisColor rgb="FF000000"/>
            </x14:dataBar>
          </x14:cfRule>
          <xm:sqref>D114</xm:sqref>
        </x14:conditionalFormatting>
        <x14:conditionalFormatting xmlns:xm="http://schemas.microsoft.com/office/excel/2006/main">
          <x14:cfRule type="dataBar" id="{F4B655E1-8BB7-4CBE-B6F6-8C5BDFAAA4EB}">
            <x14:dataBar minLength="0" maxLength="100" gradient="0">
              <x14:cfvo type="num">
                <xm:f>0</xm:f>
              </x14:cfvo>
              <x14:cfvo type="num">
                <xm:f>1</xm:f>
              </x14:cfvo>
              <x14:negativeFillColor rgb="FFFF0000"/>
              <x14:axisColor rgb="FF000000"/>
            </x14:dataBar>
          </x14:cfRule>
          <xm:sqref>D115</xm:sqref>
        </x14:conditionalFormatting>
        <x14:conditionalFormatting xmlns:xm="http://schemas.microsoft.com/office/excel/2006/main">
          <x14:cfRule type="dataBar" id="{0C9DE0E9-DCD6-40BD-9663-1BCC2E48DAFA}">
            <x14:dataBar minLength="0" maxLength="100" gradient="0">
              <x14:cfvo type="num">
                <xm:f>0</xm:f>
              </x14:cfvo>
              <x14:cfvo type="num">
                <xm:f>1</xm:f>
              </x14:cfvo>
              <x14:negativeFillColor rgb="FFFF0000"/>
              <x14:axisColor rgb="FF000000"/>
            </x14:dataBar>
          </x14:cfRule>
          <xm:sqref>D116</xm:sqref>
        </x14:conditionalFormatting>
        <x14:conditionalFormatting xmlns:xm="http://schemas.microsoft.com/office/excel/2006/main">
          <x14:cfRule type="dataBar" id="{3EBEF679-17BC-4981-9D6F-DBFF84A938C2}">
            <x14:dataBar minLength="0" maxLength="100" gradient="0">
              <x14:cfvo type="num">
                <xm:f>0</xm:f>
              </x14:cfvo>
              <x14:cfvo type="num">
                <xm:f>1</xm:f>
              </x14:cfvo>
              <x14:negativeFillColor rgb="FFFF0000"/>
              <x14:axisColor rgb="FF000000"/>
            </x14:dataBar>
          </x14:cfRule>
          <xm:sqref>D117:D122</xm:sqref>
        </x14:conditionalFormatting>
        <x14:conditionalFormatting xmlns:xm="http://schemas.microsoft.com/office/excel/2006/main">
          <x14:cfRule type="dataBar" id="{B6C2285E-61A1-4ADE-9031-12248F1785E5}">
            <x14:dataBar minLength="0" maxLength="100" gradient="0">
              <x14:cfvo type="num">
                <xm:f>0</xm:f>
              </x14:cfvo>
              <x14:cfvo type="num">
                <xm:f>1</xm:f>
              </x14:cfvo>
              <x14:negativeFillColor rgb="FFFF0000"/>
              <x14:axisColor rgb="FF000000"/>
            </x14:dataBar>
          </x14:cfRule>
          <xm:sqref>D123:D126</xm:sqref>
        </x14:conditionalFormatting>
        <x14:conditionalFormatting xmlns:xm="http://schemas.microsoft.com/office/excel/2006/main">
          <x14:cfRule type="dataBar" id="{F91CFDC2-5A9F-4941-AA32-421D4C44D485}">
            <x14:dataBar minLength="0" maxLength="100" gradient="0">
              <x14:cfvo type="num">
                <xm:f>0</xm:f>
              </x14:cfvo>
              <x14:cfvo type="num">
                <xm:f>1</xm:f>
              </x14:cfvo>
              <x14:negativeFillColor rgb="FFFF0000"/>
              <x14:axisColor rgb="FF000000"/>
            </x14:dataBar>
          </x14:cfRule>
          <xm:sqref>D127</xm:sqref>
        </x14:conditionalFormatting>
        <x14:conditionalFormatting xmlns:xm="http://schemas.microsoft.com/office/excel/2006/main">
          <x14:cfRule type="dataBar" id="{51E7C13B-CDB6-48C1-8074-ACE6DE35BBE8}">
            <x14:dataBar minLength="0" maxLength="100" gradient="0">
              <x14:cfvo type="num">
                <xm:f>0</xm:f>
              </x14:cfvo>
              <x14:cfvo type="num">
                <xm:f>1</xm:f>
              </x14:cfvo>
              <x14:negativeFillColor rgb="FFFF0000"/>
              <x14:axisColor rgb="FF000000"/>
            </x14:dataBar>
          </x14:cfRule>
          <xm:sqref>D128</xm:sqref>
        </x14:conditionalFormatting>
        <x14:conditionalFormatting xmlns:xm="http://schemas.microsoft.com/office/excel/2006/main">
          <x14:cfRule type="dataBar" id="{F92A3C4B-132A-4A43-9C29-A5A1702CDB03}">
            <x14:dataBar minLength="0" maxLength="100" gradient="0">
              <x14:cfvo type="num">
                <xm:f>0</xm:f>
              </x14:cfvo>
              <x14:cfvo type="num">
                <xm:f>1</xm:f>
              </x14:cfvo>
              <x14:negativeFillColor rgb="FFFF0000"/>
              <x14:axisColor rgb="FF000000"/>
            </x14:dataBar>
          </x14:cfRule>
          <xm:sqref>D129</xm:sqref>
        </x14:conditionalFormatting>
        <x14:conditionalFormatting xmlns:xm="http://schemas.microsoft.com/office/excel/2006/main">
          <x14:cfRule type="dataBar" id="{E006E573-D292-4D1E-8354-717240068542}">
            <x14:dataBar minLength="0" maxLength="100" gradient="0">
              <x14:cfvo type="num">
                <xm:f>0</xm:f>
              </x14:cfvo>
              <x14:cfvo type="num">
                <xm:f>1</xm:f>
              </x14:cfvo>
              <x14:negativeFillColor rgb="FFFF0000"/>
              <x14:axisColor rgb="FF000000"/>
            </x14:dataBar>
          </x14:cfRule>
          <xm:sqref>D130</xm:sqref>
        </x14:conditionalFormatting>
        <x14:conditionalFormatting xmlns:xm="http://schemas.microsoft.com/office/excel/2006/main">
          <x14:cfRule type="dataBar" id="{5CB7A22D-C9EA-4125-AD3E-5D19E24ACE00}">
            <x14:dataBar minLength="0" maxLength="100" gradient="0">
              <x14:cfvo type="num">
                <xm:f>0</xm:f>
              </x14:cfvo>
              <x14:cfvo type="num">
                <xm:f>1</xm:f>
              </x14:cfvo>
              <x14:negativeFillColor rgb="FFFF0000"/>
              <x14:axisColor rgb="FF000000"/>
            </x14:dataBar>
          </x14:cfRule>
          <xm:sqref>D131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4.4" x14ac:dyDescent="0.3"/>
  <cols>
    <col min="1" max="1" width="87" style="46" customWidth="1"/>
    <col min="2" max="16384" width="9" style="47"/>
  </cols>
  <sheetData>
    <row r="1" spans="1:2" ht="46.5" customHeight="1" x14ac:dyDescent="0.3"/>
    <row r="2" spans="1:2" s="49" customFormat="1" ht="16.2" x14ac:dyDescent="0.3">
      <c r="A2" s="48" t="s">
        <v>19</v>
      </c>
      <c r="B2" s="48"/>
    </row>
    <row r="3" spans="1:2" s="52" customFormat="1" ht="27" customHeight="1" x14ac:dyDescent="0.3">
      <c r="A3" s="50" t="s">
        <v>20</v>
      </c>
      <c r="B3" s="51"/>
    </row>
    <row r="4" spans="1:2" s="54" customFormat="1" ht="27" x14ac:dyDescent="0.5">
      <c r="A4" s="53" t="s">
        <v>21</v>
      </c>
    </row>
    <row r="5" spans="1:2" ht="61.5" customHeight="1" x14ac:dyDescent="0.3">
      <c r="A5" s="55" t="s">
        <v>22</v>
      </c>
    </row>
    <row r="6" spans="1:2" ht="26.25" customHeight="1" x14ac:dyDescent="0.3">
      <c r="A6" s="53" t="s">
        <v>23</v>
      </c>
    </row>
    <row r="7" spans="1:2" s="46" customFormat="1" ht="198" customHeight="1" x14ac:dyDescent="0.3">
      <c r="A7" s="56" t="s">
        <v>34</v>
      </c>
    </row>
    <row r="8" spans="1:2" s="54" customFormat="1" ht="27" x14ac:dyDescent="0.5">
      <c r="A8" s="53" t="s">
        <v>24</v>
      </c>
    </row>
    <row r="9" spans="1:2" ht="45" x14ac:dyDescent="0.3">
      <c r="A9" s="55" t="s">
        <v>25</v>
      </c>
    </row>
    <row r="10" spans="1:2" s="46" customFormat="1" ht="27.9" customHeight="1" x14ac:dyDescent="0.3">
      <c r="A10" s="57" t="s">
        <v>26</v>
      </c>
    </row>
    <row r="11" spans="1:2" s="54" customFormat="1" ht="27" x14ac:dyDescent="0.5">
      <c r="A11" s="53" t="s">
        <v>27</v>
      </c>
    </row>
    <row r="12" spans="1:2" ht="30" x14ac:dyDescent="0.3">
      <c r="A12" s="55" t="s">
        <v>28</v>
      </c>
    </row>
    <row r="13" spans="1:2" s="46" customFormat="1" ht="27.9" customHeight="1" x14ac:dyDescent="0.3">
      <c r="A13" s="57" t="s">
        <v>29</v>
      </c>
    </row>
    <row r="14" spans="1:2" s="54" customFormat="1" ht="27" x14ac:dyDescent="0.5">
      <c r="A14" s="53" t="s">
        <v>30</v>
      </c>
    </row>
    <row r="15" spans="1:2" ht="64.5" customHeight="1" x14ac:dyDescent="0.3">
      <c r="A15" s="55" t="s">
        <v>31</v>
      </c>
    </row>
    <row r="16" spans="1:2" ht="45" x14ac:dyDescent="0.3">
      <c r="A16" s="55" t="s">
        <v>32</v>
      </c>
    </row>
  </sheetData>
  <phoneticPr fontId="26"/>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2026-10-26T05:15:38Z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